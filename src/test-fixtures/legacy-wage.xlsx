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beb704c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임금산정표" sheetId="1" r:id="R0b760a963da246d3"/>
  </x:sheets>
  <x:definedNames>
    <x:definedName name="_xlnm.Print_Area" localSheetId="0">'임금산정표'!$A$1:$Q$37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9"/>
      <x:color rgb="FF293148"/>
      <x:name val="맑은 고딕"/>
    </x:font>
    <x:font>
      <x:b/>
      <x:sz val="21"/>
      <x:color rgb="FF4949A5"/>
      <x:name val="맑은 고딕"/>
    </x:font>
    <x:font>
      <x:b/>
      <x:sz val="10"/>
      <x:color rgb="FF4949A5"/>
      <x:name val="맑은 고딕"/>
    </x:font>
    <x:font>
      <x:sz val="8"/>
      <x:color rgb="FF293148"/>
      <x:name val="맑은 고딕"/>
    </x:font>
    <x:font>
      <x:b/>
      <x:sz val="10"/>
      <x:color rgb="FF293148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ECECF9"/>
      </x:patternFill>
    </x:fill>
    <x:fill>
      <x:patternFill patternType="solid">
        <x:fgColor rgb="FFF5F5F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fee54c7444446" /><Relationship Type="http://schemas.openxmlformats.org/officeDocument/2006/relationships/theme" Target="/xl/theme/theme1.xml" Id="Rfb0e639b21224526" /><Relationship Type="http://schemas.openxmlformats.org/officeDocument/2006/relationships/sharedStrings" Target="/xl/sharedStrings.xml" Id="Rc56d797102954e42" /><Relationship Type="http://schemas.openxmlformats.org/officeDocument/2006/relationships/worksheet" Target="/xl/worksheets/sheet1.xml" Id="R0b760a963da246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3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2"/>
      <x:c r="B2" s="3" t="str">
        <x:v>임금산정표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2"/>
    </x:row>
    <x:row r="3" ht="12" customHeight="1">
      <x:c r="A3" s="2"/>
      <x:c r="B3" s="2" t="inlineStr">
        <is xmlns="http://schemas.openxmlformats.org/spreadsheetml/2006/main">
          <t xml:space="preserve">테스트학교   |   계약기간 2026. 9. 15. ~ 2026. 10. 8.</t>
        </is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2" customHeight="1">
      <x:c r="A5" s="2"/>
      <x:c r="B5" s="2" t="inlineStr">
        <is xmlns="http://schemas.openxmlformats.org/spreadsheetml/2006/main">
          <t xml:space="preserve">직종 / 성명   과학실무사 / 주휴검산</t>
        </is>
      </x:c>
      <x:c r="C5" s="2"/>
      <x:c r="D5" s="2"/>
      <x:c r="E5" s="2"/>
      <x:c r="F5" s="2"/>
      <x:c r="G5" s="2"/>
      <x:c r="H5" s="2"/>
      <x:c r="I5" s="2"/>
      <x:c r="J5" s="2" t="inlineStr">
        <is xmlns="http://schemas.openxmlformats.org/spreadsheetml/2006/main">
          <t xml:space="preserve">생년월일   </t>
        </is>
      </x:c>
      <x:c r="K5" s="2"/>
      <x:c r="L5" s="2"/>
      <x:c r="M5" s="2"/>
      <x:c r="N5" s="2"/>
      <x:c r="O5" s="2"/>
      <x:c r="P5" s="2"/>
      <x:c r="Q5" s="2"/>
    </x:row>
    <x:row r="6" ht="12" customHeight="1">
      <x:c r="A6" s="2"/>
      <x:c r="B6" s="2" t="inlineStr">
        <is xmlns="http://schemas.openxmlformats.org/spreadsheetml/2006/main">
          <t xml:space="preserve">지급계좌    /  / </t>
        </is>
      </x:c>
      <x:c r="C6" s="2"/>
      <x:c r="D6" s="2"/>
      <x:c r="E6" s="2"/>
      <x:c r="F6" s="2"/>
      <x:c r="G6" s="2"/>
      <x:c r="H6" s="2"/>
      <x:c r="I6" s="2"/>
      <x:c r="J6" s="2" t="inlineStr">
        <is xmlns="http://schemas.openxmlformats.org/spreadsheetml/2006/main">
          <t xml:space="preserve">원근로자   원근로자 / 휴가</t>
        </is>
      </x:c>
      <x:c r="K6" s="2"/>
      <x:c r="L6" s="2"/>
      <x:c r="M6" s="2"/>
      <x:c r="N6" s="2"/>
      <x:c r="O6" s="2"/>
      <x:c r="P6" s="2"/>
      <x:c r="Q6" s="2"/>
    </x:row>
    <x:row r="7" ht="12" customHeight="1">
      <x:c r="A7" s="2"/>
      <x:c r="B7" s="2" t="inlineStr">
        <is xmlns="http://schemas.openxmlformats.org/spreadsheetml/2006/main">
          <t xml:space="preserve">계산자료   담당자 </t>
        </is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2" customHeight="1">
      <x:c r="A9" s="2"/>
      <x:c r="B9" s="5" t="str">
        <x:v>01  지급 내역</x:v>
      </x:c>
      <x:c r="C9" s="5"/>
      <x:c r="D9" s="5"/>
      <x:c r="E9" s="5"/>
      <x:c r="F9" s="5"/>
      <x:c r="G9" s="5"/>
      <x:c r="H9" s="5"/>
      <x:c r="I9" s="2"/>
      <x:c r="J9" s="5" t="str">
        <x:v>03  주별 근무·주휴 산정</x:v>
      </x:c>
      <x:c r="K9" s="5"/>
      <x:c r="L9" s="5"/>
      <x:c r="M9" s="5"/>
      <x:c r="N9" s="5"/>
      <x:c r="O9" s="5"/>
      <x:c r="P9" s="5"/>
      <x:c r="Q9" s="2"/>
    </x:row>
    <x:row r="10" ht="12" customHeight="1">
      <x:c r="A10" s="2"/>
      <x:c r="B10" s="2" t="str">
        <x:v>항목</x:v>
      </x:c>
      <x:c r="C10" s="2"/>
      <x:c r="D10" s="2" t="str">
        <x:v>산정 내용</x:v>
      </x:c>
      <x:c r="E10" s="2"/>
      <x:c r="F10" s="2"/>
      <x:c r="G10" s="2" t="str">
        <x:v>금액 (원)</x:v>
      </x:c>
      <x:c r="H10" s="2"/>
      <x:c r="I10" s="2"/>
      <x:c r="J10" s="17" t="str">
        <x:v>계약 주간</x:v>
      </x:c>
      <x:c r="K10" s="17" t="inlineStr">
        <is xmlns="http://schemas.openxmlformats.org/spreadsheetml/2006/main">
          <t xml:space="preserve">근무·유급일수</t>
        </is>
      </x:c>
      <x:c r="L10" s="17" t="inlineStr">
        <is xmlns="http://schemas.openxmlformats.org/spreadsheetml/2006/main">
          <t xml:space="preserve">약정시간</t>
        </is>
      </x:c>
      <x:c r="M10" s="17" t="str">
        <x:v>실근로</x:v>
      </x:c>
      <x:c r="N10" s="17" t="str">
        <x:v>검토 결과</x:v>
      </x:c>
      <x:c r="O10" s="17"/>
      <x:c r="P10" s="17" t="str">
        <x:v>주휴시간</x:v>
      </x:c>
      <x:c r="Q10" s="2"/>
    </x:row>
    <x:row r="11" ht="23" customHeight="1">
      <x:c r="A11" s="2"/>
      <x:c r="B11" s="2" t="inlineStr">
        <is xmlns="http://schemas.openxmlformats.org/spreadsheetml/2006/main">
          <t xml:space="preserve">근무·유급임금</t>
        </is>
      </x:c>
      <x:c r="C11" s="2"/>
      <x:c r="D11" s="6" t="inlineStr">
        <is xmlns="http://schemas.openxmlformats.org/spreadsheetml/2006/main">
          <t xml:space="preserve">11,026.32원 × 114시간</t>
        </is>
      </x:c>
      <x:c r="E11" s="6"/>
      <x:c r="F11" s="6"/>
      <x:c r="G11" s="14">
        <v xmlns="http://schemas.openxmlformats.org/spreadsheetml/2006/main">1257000</v>
      </x:c>
      <x:c r="H11" s="14"/>
      <x:c r="I11" s="2"/>
      <x:c r="J11" s="18" t="inlineStr">
        <is xmlns="http://schemas.openxmlformats.org/spreadsheetml/2006/main">
          <t xml:space="preserve">09.15 ~ 09.21</t>
        </is>
      </x:c>
      <x:c r="K11" s="18">
        <v xmlns="http://schemas.openxmlformats.org/spreadsheetml/2006/main">3</v>
      </x:c>
      <x:c r="L11" s="18">
        <v xmlns="http://schemas.openxmlformats.org/spreadsheetml/2006/main">24</v>
      </x:c>
      <x:c r="M11" s="18">
        <v xmlns="http://schemas.openxmlformats.org/spreadsheetml/2006/main">24</v>
      </x:c>
      <x:c r="N11" s="18" t="inlineStr">
        <is xmlns="http://schemas.openxmlformats.org/spreadsheetml/2006/main">
          <t xml:space="preserve">지급</t>
        </is>
      </x:c>
      <x:c r="O11" s="18"/>
      <x:c r="P11" s="18">
        <v xmlns="http://schemas.openxmlformats.org/spreadsheetml/2006/main">4.8</v>
      </x:c>
      <x:c r="Q11" s="2"/>
    </x:row>
    <x:row r="12" ht="23" customHeight="1">
      <x:c r="A12" s="2"/>
      <x:c r="B12" s="2" t="str">
        <x:v>주휴수당</x:v>
      </x:c>
      <x:c r="C12" s="2"/>
      <x:c r="D12" s="6" t="inlineStr">
        <is xmlns="http://schemas.openxmlformats.org/spreadsheetml/2006/main">
          <t xml:space="preserve">11,026.32원 × 16.8시간</t>
        </is>
      </x:c>
      <x:c r="E12" s="6"/>
      <x:c r="F12" s="6"/>
      <x:c r="G12" s="14">
        <v xmlns="http://schemas.openxmlformats.org/spreadsheetml/2006/main">185240</v>
      </x:c>
      <x:c r="H12" s="14"/>
      <x:c r="I12" s="2"/>
      <x:c r="J12" s="18" t="inlineStr">
        <is xmlns="http://schemas.openxmlformats.org/spreadsheetml/2006/main">
          <t xml:space="preserve">09.22 ~ 09.28</t>
        </is>
      </x:c>
      <x:c r="K12" s="18">
        <v xmlns="http://schemas.openxmlformats.org/spreadsheetml/2006/main">5</v>
      </x:c>
      <x:c r="L12" s="18">
        <v xmlns="http://schemas.openxmlformats.org/spreadsheetml/2006/main">40</v>
      </x:c>
      <x:c r="M12" s="18">
        <v xmlns="http://schemas.openxmlformats.org/spreadsheetml/2006/main">24</v>
      </x:c>
      <x:c r="N12" s="18" t="inlineStr">
        <is xmlns="http://schemas.openxmlformats.org/spreadsheetml/2006/main">
          <t xml:space="preserve">지급</t>
        </is>
      </x:c>
      <x:c r="O12" s="18"/>
      <x:c r="P12" s="18">
        <v xmlns="http://schemas.openxmlformats.org/spreadsheetml/2006/main">6</v>
      </x:c>
      <x:c r="Q12" s="2"/>
    </x:row>
    <x:row r="13" ht="23" customHeight="1">
      <x:c r="A13" s="2"/>
      <x:c r="B13" s="2" t="str">
        <x:v>연장근로수당</x:v>
      </x:c>
      <x:c r="C13" s="2"/>
      <x:c r="D13" s="6" t="inlineStr">
        <is xmlns="http://schemas.openxmlformats.org/spreadsheetml/2006/main">
          <t xml:space="preserve">1배 0시간 / 1.5배 0시간</t>
        </is>
      </x:c>
      <x:c r="E13" s="6"/>
      <x:c r="F13" s="6"/>
      <x:c r="G13" s="14">
        <v xmlns="http://schemas.openxmlformats.org/spreadsheetml/2006/main">0</v>
      </x:c>
      <x:c r="H13" s="14"/>
      <x:c r="I13" s="2"/>
      <x:c r="J13" s="18" t="inlineStr">
        <is xmlns="http://schemas.openxmlformats.org/spreadsheetml/2006/main">
          <t xml:space="preserve">09.29 ~ 10.05</t>
        </is>
      </x:c>
      <x:c r="K13" s="18">
        <v xmlns="http://schemas.openxmlformats.org/spreadsheetml/2006/main">4</v>
      </x:c>
      <x:c r="L13" s="18">
        <v xmlns="http://schemas.openxmlformats.org/spreadsheetml/2006/main">32</v>
      </x:c>
      <x:c r="M13" s="18">
        <v xmlns="http://schemas.openxmlformats.org/spreadsheetml/2006/main">24</v>
      </x:c>
      <x:c r="N13" s="18" t="inlineStr">
        <is xmlns="http://schemas.openxmlformats.org/spreadsheetml/2006/main">
          <t xml:space="preserve">지급</t>
        </is>
      </x:c>
      <x:c r="O13" s="18"/>
      <x:c r="P13" s="18">
        <v xmlns="http://schemas.openxmlformats.org/spreadsheetml/2006/main">6</v>
      </x:c>
      <x:c r="Q13" s="2"/>
    </x:row>
    <x:row r="14" ht="23" customHeight="1">
      <x:c r="A14" s="2"/>
      <x:c r="B14" s="2" t="str">
        <x:v>기타 지급</x:v>
      </x:c>
      <x:c r="C14" s="2"/>
      <x:c r="D14" s="6" t="inlineStr">
        <is xmlns="http://schemas.openxmlformats.org/spreadsheetml/2006/main">
          <t xml:space="preserve">직접 입력</t>
        </is>
      </x:c>
      <x:c r="E14" s="6"/>
      <x:c r="F14" s="6"/>
      <x:c r="G14" s="14">
        <v xmlns="http://schemas.openxmlformats.org/spreadsheetml/2006/main">0</v>
      </x:c>
      <x:c r="H14" s="14"/>
      <x:c r="I14" s="2"/>
      <x:c r="J14" s="18" t="inlineStr">
        <is xmlns="http://schemas.openxmlformats.org/spreadsheetml/2006/main">
          <t xml:space="preserve">10.06 ~ 10.08</t>
        </is>
      </x:c>
      <x:c r="K14" s="18">
        <v xmlns="http://schemas.openxmlformats.org/spreadsheetml/2006/main">3</v>
      </x:c>
      <x:c r="L14" s="18">
        <v xmlns="http://schemas.openxmlformats.org/spreadsheetml/2006/main">24</v>
      </x:c>
      <x:c r="M14" s="18">
        <v xmlns="http://schemas.openxmlformats.org/spreadsheetml/2006/main">24</v>
      </x:c>
      <x:c r="N14" s="18" t="inlineStr">
        <is xmlns="http://schemas.openxmlformats.org/spreadsheetml/2006/main">
          <t xml:space="preserve">7일 미충족 (3일)</t>
        </is>
      </x:c>
      <x:c r="O14" s="18"/>
      <x:c r="P14" s="18">
        <v xmlns="http://schemas.openxmlformats.org/spreadsheetml/2006/main">0</v>
      </x:c>
      <x:c r="Q14" s="2"/>
    </x:row>
    <x:row r="15" ht="23" customHeight="1">
      <x:c r="A15" s="2"/>
      <x:c r="B15" s="10" t="str">
        <x:v>지급 합계</x:v>
      </x:c>
      <x:c r="C15" s="10"/>
      <x:c r="D15" s="10"/>
      <x:c r="E15" s="10"/>
      <x:c r="F15" s="10"/>
      <x:c r="G15" s="15">
        <x:f>SUM(G11:G14)</x:f>
        <v xmlns="http://schemas.openxmlformats.org/spreadsheetml/2006/main">1442240</v>
      </x:c>
      <x:c r="H15" s="15"/>
      <x:c r="I15" s="2"/>
      <x:c r="J15" s="18"/>
      <x:c r="K15" s="18"/>
      <x:c r="L15" s="18"/>
      <x:c r="M15" s="18"/>
      <x:c r="N15" s="18"/>
      <x:c r="O15" s="18"/>
      <x:c r="P15" s="18"/>
      <x:c r="Q15" s="2"/>
    </x:row>
    <x:row r="16" ht="12" customHeight="1">
      <x:c r="A16" s="2"/>
      <x:c r="B16" s="2"/>
      <x:c r="C16" s="2"/>
      <x:c r="D16" s="2"/>
      <x:c r="E16" s="2"/>
      <x:c r="F16" s="2"/>
      <x:c r="G16" s="14"/>
      <x:c r="H16" s="14"/>
      <x:c r="I16" s="2"/>
      <x:c r="J16" s="19"/>
      <x:c r="K16" s="19"/>
      <x:c r="L16" s="19"/>
      <x:c r="M16" s="19"/>
      <x:c r="N16" s="19"/>
      <x:c r="O16" s="19"/>
      <x:c r="P16" s="19"/>
      <x:c r="Q16" s="2"/>
    </x:row>
    <x:row r="17" ht="12" customHeight="1">
      <x:c r="A17" s="2"/>
      <x:c r="B17" s="5" t="str">
        <x:v>02  공제 내역</x:v>
      </x:c>
      <x:c r="C17" s="5"/>
      <x:c r="D17" s="5"/>
      <x:c r="E17" s="5"/>
      <x:c r="F17" s="5"/>
      <x:c r="G17" s="16"/>
      <x:c r="H17" s="16"/>
      <x:c r="I17" s="2"/>
      <x:c r="J17" s="20" t="str">
        <x:v>04  날짜별 근무 내역</x:v>
      </x:c>
      <x:c r="K17" s="20"/>
      <x:c r="L17" s="20"/>
      <x:c r="M17" s="20"/>
      <x:c r="N17" s="20"/>
      <x:c r="O17" s="20"/>
      <x:c r="P17" s="20"/>
      <x:c r="Q17" s="2"/>
    </x:row>
    <x:row r="18" ht="12" customHeight="1">
      <x:c r="A18" s="2"/>
      <x:c r="B18" s="2" t="str">
        <x:v>식대</x:v>
      </x:c>
      <x:c r="C18" s="2"/>
      <x:c r="D18" s="2"/>
      <x:c r="E18" s="2"/>
      <x:c r="F18" s="2"/>
      <x:c r="G18" s="14">
        <v xmlns="http://schemas.openxmlformats.org/spreadsheetml/2006/main">0</v>
      </x:c>
      <x:c r="H18" s="14"/>
      <x:c r="I18" s="2"/>
      <x:c r="J18" s="17" t="str">
        <x:v>날짜</x:v>
      </x:c>
      <x:c r="K18" s="17"/>
      <x:c r="L18" s="17" t="str">
        <x:v>구분</x:v>
      </x:c>
      <x:c r="M18" s="17" t="str">
        <x:v>시간</x:v>
      </x:c>
      <x:c r="N18" s="17" t="str">
        <x:v>날짜</x:v>
      </x:c>
      <x:c r="O18" s="17" t="str">
        <x:v>구분</x:v>
      </x:c>
      <x:c r="P18" s="17" t="str">
        <x:v>시간</x:v>
      </x:c>
      <x:c r="Q18" s="2"/>
    </x:row>
    <x:row r="19" ht="12" customHeight="1">
      <x:c r="A19" s="2"/>
      <x:c r="B19" s="2" t="str">
        <x:v>소득세</x:v>
      </x:c>
      <x:c r="C19" s="2"/>
      <x:c r="D19" s="2"/>
      <x:c r="E19" s="2"/>
      <x:c r="F19" s="2"/>
      <x:c r="G19" s="14">
        <v xmlns="http://schemas.openxmlformats.org/spreadsheetml/2006/main">0</v>
      </x:c>
      <x:c r="H19" s="14"/>
      <x:c r="I19" s="2"/>
      <x:c r="J19" s="21" t="inlineStr">
        <is xmlns="http://schemas.openxmlformats.org/spreadsheetml/2006/main">
          <t xml:space="preserve">09월15일</t>
        </is>
      </x:c>
      <x:c r="K19" s="21"/>
      <x:c r="L19" s="19" t="inlineStr">
        <is xmlns="http://schemas.openxmlformats.org/spreadsheetml/2006/main">
          <t xml:space="preserve">근무</t>
        </is>
      </x:c>
      <x:c r="M19" s="19">
        <v xmlns="http://schemas.openxmlformats.org/spreadsheetml/2006/main">8</v>
      </x:c>
      <x:c r="N19" s="21"/>
      <x:c r="O19" s="19"/>
      <x:c r="P19" s="19"/>
      <x:c r="Q19" s="2"/>
    </x:row>
    <x:row r="20" ht="12" customHeight="1">
      <x:c r="A20" s="2"/>
      <x:c r="B20" s="2" t="str">
        <x:v>지방소득세</x:v>
      </x:c>
      <x:c r="C20" s="2"/>
      <x:c r="D20" s="2"/>
      <x:c r="E20" s="2"/>
      <x:c r="F20" s="2"/>
      <x:c r="G20" s="14">
        <v xmlns="http://schemas.openxmlformats.org/spreadsheetml/2006/main">0</v>
      </x:c>
      <x:c r="H20" s="14"/>
      <x:c r="I20" s="2"/>
      <x:c r="J20" s="21" t="inlineStr">
        <is xmlns="http://schemas.openxmlformats.org/spreadsheetml/2006/main">
          <t xml:space="preserve">09월17일</t>
        </is>
      </x:c>
      <x:c r="K20" s="21"/>
      <x:c r="L20" s="19" t="inlineStr">
        <is xmlns="http://schemas.openxmlformats.org/spreadsheetml/2006/main">
          <t xml:space="preserve">근무</t>
        </is>
      </x:c>
      <x:c r="M20" s="19">
        <v xmlns="http://schemas.openxmlformats.org/spreadsheetml/2006/main">8</v>
      </x:c>
      <x:c r="N20" s="21"/>
      <x:c r="O20" s="19"/>
      <x:c r="P20" s="19"/>
      <x:c r="Q20" s="2"/>
    </x:row>
    <x:row r="21" ht="12" customHeight="1">
      <x:c r="A21" s="2"/>
      <x:c r="B21" s="2" t="str">
        <x:v>건강보험</x:v>
      </x:c>
      <x:c r="C21" s="2"/>
      <x:c r="D21" s="2"/>
      <x:c r="E21" s="2"/>
      <x:c r="F21" s="2"/>
      <x:c r="G21" s="14">
        <v xmlns="http://schemas.openxmlformats.org/spreadsheetml/2006/main">0</v>
      </x:c>
      <x:c r="H21" s="14"/>
      <x:c r="I21" s="2"/>
      <x:c r="J21" s="21" t="inlineStr">
        <is xmlns="http://schemas.openxmlformats.org/spreadsheetml/2006/main">
          <t xml:space="preserve">09월21일</t>
        </is>
      </x:c>
      <x:c r="K21" s="21"/>
      <x:c r="L21" s="19" t="inlineStr">
        <is xmlns="http://schemas.openxmlformats.org/spreadsheetml/2006/main">
          <t xml:space="preserve">근무</t>
        </is>
      </x:c>
      <x:c r="M21" s="19">
        <v xmlns="http://schemas.openxmlformats.org/spreadsheetml/2006/main">8</v>
      </x:c>
      <x:c r="N21" s="21"/>
      <x:c r="O21" s="19"/>
      <x:c r="P21" s="19"/>
      <x:c r="Q21" s="2"/>
    </x:row>
    <x:row r="22" ht="12" customHeight="1">
      <x:c r="A22" s="2"/>
      <x:c r="B22" s="2" t="str">
        <x:v>장기요양보험</x:v>
      </x:c>
      <x:c r="C22" s="2"/>
      <x:c r="D22" s="2"/>
      <x:c r="E22" s="2"/>
      <x:c r="F22" s="2"/>
      <x:c r="G22" s="14">
        <v xmlns="http://schemas.openxmlformats.org/spreadsheetml/2006/main">0</v>
      </x:c>
      <x:c r="H22" s="14"/>
      <x:c r="I22" s="2"/>
      <x:c r="J22" s="21" t="inlineStr">
        <is xmlns="http://schemas.openxmlformats.org/spreadsheetml/2006/main">
          <t xml:space="preserve">09월22일</t>
        </is>
      </x:c>
      <x:c r="K22" s="21"/>
      <x:c r="L22" s="19" t="inlineStr">
        <is xmlns="http://schemas.openxmlformats.org/spreadsheetml/2006/main">
          <t xml:space="preserve">근무</t>
        </is>
      </x:c>
      <x:c r="M22" s="19">
        <v xmlns="http://schemas.openxmlformats.org/spreadsheetml/2006/main">8</v>
      </x:c>
      <x:c r="N22" s="21"/>
      <x:c r="O22" s="19"/>
      <x:c r="P22" s="19"/>
      <x:c r="Q22" s="2"/>
    </x:row>
    <x:row r="23" ht="12" customHeight="1">
      <x:c r="A23" s="2"/>
      <x:c r="B23" s="2" t="str">
        <x:v>국민연금</x:v>
      </x:c>
      <x:c r="C23" s="2"/>
      <x:c r="D23" s="2"/>
      <x:c r="E23" s="2"/>
      <x:c r="F23" s="2"/>
      <x:c r="G23" s="14">
        <v xmlns="http://schemas.openxmlformats.org/spreadsheetml/2006/main">0</v>
      </x:c>
      <x:c r="H23" s="14"/>
      <x:c r="I23" s="2"/>
      <x:c r="J23" s="21" t="inlineStr">
        <is xmlns="http://schemas.openxmlformats.org/spreadsheetml/2006/main">
          <t xml:space="preserve">09월23일</t>
        </is>
      </x:c>
      <x:c r="K23" s="21"/>
      <x:c r="L23" s="19" t="inlineStr">
        <is xmlns="http://schemas.openxmlformats.org/spreadsheetml/2006/main">
          <t xml:space="preserve">근무</t>
        </is>
      </x:c>
      <x:c r="M23" s="19">
        <v xmlns="http://schemas.openxmlformats.org/spreadsheetml/2006/main">8</v>
      </x:c>
      <x:c r="N23" s="21"/>
      <x:c r="O23" s="19"/>
      <x:c r="P23" s="19"/>
      <x:c r="Q23" s="2"/>
    </x:row>
    <x:row r="24" ht="12" customHeight="1">
      <x:c r="A24" s="2"/>
      <x:c r="B24" s="2" t="str">
        <x:v>고용보험</x:v>
      </x:c>
      <x:c r="C24" s="2"/>
      <x:c r="D24" s="2"/>
      <x:c r="E24" s="2"/>
      <x:c r="F24" s="2"/>
      <x:c r="G24" s="14">
        <v xmlns="http://schemas.openxmlformats.org/spreadsheetml/2006/main">12980</v>
      </x:c>
      <x:c r="H24" s="14"/>
      <x:c r="I24" s="2"/>
      <x:c r="J24" s="21" t="inlineStr">
        <is xmlns="http://schemas.openxmlformats.org/spreadsheetml/2006/main">
          <t xml:space="preserve">09월24일</t>
        </is>
      </x:c>
      <x:c r="K24" s="21"/>
      <x:c r="L24" s="19" t="inlineStr">
        <is xmlns="http://schemas.openxmlformats.org/spreadsheetml/2006/main">
          <t xml:space="preserve">유급휴일</t>
        </is>
      </x:c>
      <x:c r="M24" s="19">
        <v xmlns="http://schemas.openxmlformats.org/spreadsheetml/2006/main">6</v>
      </x:c>
      <x:c r="N24" s="21"/>
      <x:c r="O24" s="19"/>
      <x:c r="P24" s="19"/>
      <x:c r="Q24" s="2"/>
    </x:row>
    <x:row r="25" ht="12" customHeight="1">
      <x:c r="A25" s="2"/>
      <x:c r="B25" s="10" t="str">
        <x:v>공제 합계</x:v>
      </x:c>
      <x:c r="C25" s="10"/>
      <x:c r="D25" s="10"/>
      <x:c r="E25" s="10"/>
      <x:c r="F25" s="10"/>
      <x:c r="G25" s="15">
        <x:f>SUM(G18:G24)</x:f>
        <v xmlns="http://schemas.openxmlformats.org/spreadsheetml/2006/main">12980</v>
      </x:c>
      <x:c r="H25" s="15"/>
      <x:c r="I25" s="2"/>
      <x:c r="J25" s="21" t="inlineStr">
        <is xmlns="http://schemas.openxmlformats.org/spreadsheetml/2006/main">
          <t xml:space="preserve">09월25일</t>
        </is>
      </x:c>
      <x:c r="K25" s="21"/>
      <x:c r="L25" s="19" t="inlineStr">
        <is xmlns="http://schemas.openxmlformats.org/spreadsheetml/2006/main">
          <t xml:space="preserve">유급휴일</t>
        </is>
      </x:c>
      <x:c r="M25" s="19">
        <v xmlns="http://schemas.openxmlformats.org/spreadsheetml/2006/main">6</v>
      </x:c>
      <x:c r="N25" s="21"/>
      <x:c r="O25" s="19"/>
      <x:c r="P25" s="19"/>
      <x:c r="Q25" s="2"/>
    </x:row>
    <x:row r="26" ht="12" customHeight="1">
      <x:c r="A26" s="2"/>
      <x:c r="B26" s="10" t="str">
        <x:v>실수령액</x:v>
      </x:c>
      <x:c r="C26" s="10"/>
      <x:c r="D26" s="10"/>
      <x:c r="E26" s="10"/>
      <x:c r="F26" s="10"/>
      <x:c r="G26" s="15">
        <x:f>G15-G25</x:f>
        <v xmlns="http://schemas.openxmlformats.org/spreadsheetml/2006/main">1429260</v>
      </x:c>
      <x:c r="H26" s="15"/>
      <x:c r="I26" s="2"/>
      <x:c r="J26" s="21" t="inlineStr">
        <is xmlns="http://schemas.openxmlformats.org/spreadsheetml/2006/main">
          <t xml:space="preserve">09월28일</t>
        </is>
      </x:c>
      <x:c r="K26" s="21"/>
      <x:c r="L26" s="19" t="inlineStr">
        <is xmlns="http://schemas.openxmlformats.org/spreadsheetml/2006/main">
          <t xml:space="preserve">근무</t>
        </is>
      </x:c>
      <x:c r="M26" s="19">
        <v xmlns="http://schemas.openxmlformats.org/spreadsheetml/2006/main">8</v>
      </x:c>
      <x:c r="N26" s="21"/>
      <x:c r="O26" s="19"/>
      <x:c r="P26" s="19"/>
      <x:c r="Q26" s="2"/>
    </x:row>
    <x:row r="27" ht="1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1" t="inlineStr">
        <is xmlns="http://schemas.openxmlformats.org/spreadsheetml/2006/main">
          <t xml:space="preserve">09월29일</t>
        </is>
      </x:c>
      <x:c r="K27" s="21"/>
      <x:c r="L27" s="19" t="inlineStr">
        <is xmlns="http://schemas.openxmlformats.org/spreadsheetml/2006/main">
          <t xml:space="preserve">근무</t>
        </is>
      </x:c>
      <x:c r="M27" s="19">
        <v xmlns="http://schemas.openxmlformats.org/spreadsheetml/2006/main">8</v>
      </x:c>
      <x:c r="N27" s="21"/>
      <x:c r="O27" s="19"/>
      <x:c r="P27" s="19"/>
      <x:c r="Q27" s="2"/>
    </x:row>
    <x:row r="28" ht="12" customHeight="1">
      <x:c r="A28" s="2"/>
      <x:c r="B28" s="5" t="str">
        <x:v>05  산정 기준</x:v>
      </x:c>
      <x:c r="C28" s="5"/>
      <x:c r="D28" s="5"/>
      <x:c r="E28" s="5"/>
      <x:c r="F28" s="5"/>
      <x:c r="G28" s="5"/>
      <x:c r="H28" s="5"/>
      <x:c r="I28" s="2"/>
      <x:c r="J28" s="21" t="inlineStr">
        <is xmlns="http://schemas.openxmlformats.org/spreadsheetml/2006/main">
          <t xml:space="preserve">09월30일</t>
        </is>
      </x:c>
      <x:c r="K28" s="21"/>
      <x:c r="L28" s="19" t="inlineStr">
        <is xmlns="http://schemas.openxmlformats.org/spreadsheetml/2006/main">
          <t xml:space="preserve">근무</t>
        </is>
      </x:c>
      <x:c r="M28" s="19">
        <v xmlns="http://schemas.openxmlformats.org/spreadsheetml/2006/main">8</v>
      </x:c>
      <x:c r="N28" s="21"/>
      <x:c r="O28" s="19"/>
      <x:c r="P28" s="19"/>
      <x:c r="Q28" s="2"/>
    </x:row>
    <x:row r="29" ht="12" customHeight="1">
      <x:c r="A29" s="2"/>
      <x:c r="B29" s="7" t="inlineStr">
        <is xmlns="http://schemas.openxmlformats.org/spreadsheetml/2006/main">
          <t xml:space="preserve">일 소정근로 8시간 · 주 평균 35시간 · 월 임금산정 209시간</t>
        </is>
      </x:c>
      <x:c r="C29" s="7"/>
      <x:c r="D29" s="7"/>
      <x:c r="E29" s="7"/>
      <x:c r="F29" s="7"/>
      <x:c r="G29" s="7"/>
      <x:c r="H29" s="7"/>
      <x:c r="I29" s="2"/>
      <x:c r="J29" s="21" t="inlineStr">
        <is xmlns="http://schemas.openxmlformats.org/spreadsheetml/2006/main">
          <t xml:space="preserve">10월02일</t>
        </is>
      </x:c>
      <x:c r="K29" s="21"/>
      <x:c r="L29" s="19" t="inlineStr">
        <is xmlns="http://schemas.openxmlformats.org/spreadsheetml/2006/main">
          <t xml:space="preserve">근무</t>
        </is>
      </x:c>
      <x:c r="M29" s="19">
        <v xmlns="http://schemas.openxmlformats.org/spreadsheetml/2006/main">8</v>
      </x:c>
      <x:c r="N29" s="21"/>
      <x:c r="O29" s="19"/>
      <x:c r="P29" s="19"/>
      <x:c r="Q29" s="2"/>
    </x:row>
    <x:row r="30" ht="12" customHeight="1">
      <x:c r="A30" s="2"/>
      <x:c r="B30" s="7" t="inlineStr">
        <is xmlns="http://schemas.openxmlformats.org/spreadsheetml/2006/main">
          <t xml:space="preserve">월 기본급 2,144,500원 / 급식비 160,000원 / 수당 0원</t>
        </is>
      </x:c>
      <x:c r="C30" s="7"/>
      <x:c r="D30" s="7"/>
      <x:c r="E30" s="7"/>
      <x:c r="F30" s="7"/>
      <x:c r="G30" s="7"/>
      <x:c r="H30" s="7"/>
      <x:c r="I30" s="2"/>
      <x:c r="J30" s="21" t="inlineStr">
        <is xmlns="http://schemas.openxmlformats.org/spreadsheetml/2006/main">
          <t xml:space="preserve">10월05일</t>
        </is>
      </x:c>
      <x:c r="K30" s="21"/>
      <x:c r="L30" s="19" t="inlineStr">
        <is xmlns="http://schemas.openxmlformats.org/spreadsheetml/2006/main">
          <t xml:space="preserve">유급휴일</t>
        </is>
      </x:c>
      <x:c r="M30" s="19">
        <v xmlns="http://schemas.openxmlformats.org/spreadsheetml/2006/main">6</v>
      </x:c>
      <x:c r="N30" s="21"/>
      <x:c r="O30" s="19"/>
      <x:c r="P30" s="19"/>
      <x:c r="Q30" s="2"/>
    </x:row>
    <x:row r="31" ht="12" customHeight="1">
      <x:c r="A31" s="2"/>
      <x:c r="B31" s="7" t="inlineStr">
        <is xmlns="http://schemas.openxmlformats.org/spreadsheetml/2006/main">
          <t xml:space="preserve">통상시급 11,026.32원 / 최저시급 10,320원 / 적용 11,026.32원</t>
        </is>
      </x:c>
      <x:c r="C31" s="7"/>
      <x:c r="D31" s="7"/>
      <x:c r="E31" s="7"/>
      <x:c r="F31" s="7"/>
      <x:c r="G31" s="7"/>
      <x:c r="H31" s="7"/>
      <x:c r="I31" s="2"/>
      <x:c r="J31" s="21" t="inlineStr">
        <is xmlns="http://schemas.openxmlformats.org/spreadsheetml/2006/main">
          <t xml:space="preserve">10월06일</t>
        </is>
      </x:c>
      <x:c r="K31" s="21"/>
      <x:c r="L31" s="19" t="inlineStr">
        <is xmlns="http://schemas.openxmlformats.org/spreadsheetml/2006/main">
          <t xml:space="preserve">근무</t>
        </is>
      </x:c>
      <x:c r="M31" s="19">
        <v xmlns="http://schemas.openxmlformats.org/spreadsheetml/2006/main">8</v>
      </x:c>
      <x:c r="N31" s="21"/>
      <x:c r="O31" s="19"/>
      <x:c r="P31" s="19"/>
      <x:c r="Q31" s="2"/>
    </x:row>
    <x:row r="32" ht="12" customHeight="1">
      <x:c r="A32" s="2"/>
      <x:c r="B32" s="7" t="inlineStr">
        <is xmlns="http://schemas.openxmlformats.org/spreadsheetml/2006/main">
          <t xml:space="preserve">주휴 기준: 각 주 말일부터 직전 4주 (4주 미만은 입사일부터)</t>
        </is>
      </x:c>
      <x:c r="C32" s="7"/>
      <x:c r="D32" s="7"/>
      <x:c r="E32" s="7"/>
      <x:c r="F32" s="7"/>
      <x:c r="G32" s="7"/>
      <x:c r="H32" s="7"/>
      <x:c r="I32" s="2"/>
      <x:c r="J32" s="21" t="inlineStr">
        <is xmlns="http://schemas.openxmlformats.org/spreadsheetml/2006/main">
          <t xml:space="preserve">10월07일</t>
        </is>
      </x:c>
      <x:c r="K32" s="21"/>
      <x:c r="L32" s="19" t="inlineStr">
        <is xmlns="http://schemas.openxmlformats.org/spreadsheetml/2006/main">
          <t xml:space="preserve">근무</t>
        </is>
      </x:c>
      <x:c r="M32" s="19">
        <v xmlns="http://schemas.openxmlformats.org/spreadsheetml/2006/main">8</v>
      </x:c>
      <x:c r="N32" s="21"/>
      <x:c r="O32" s="19"/>
      <x:c r="P32" s="19"/>
      <x:c r="Q32" s="2"/>
    </x:row>
    <x:row r="33" ht="12" customHeight="1">
      <x:c r="A33" s="2"/>
      <x:c r="B33" s="7" t="inlineStr">
        <is xmlns="http://schemas.openxmlformats.org/spreadsheetml/2006/main">
          <t xml:space="preserve">주휴 주차별: 4.8 + 6 + 6 = 16.8시간</t>
        </is>
      </x:c>
      <x:c r="C33" s="7"/>
      <x:c r="D33" s="7"/>
      <x:c r="E33" s="7"/>
      <x:c r="F33" s="7"/>
      <x:c r="G33" s="7"/>
      <x:c r="H33" s="7"/>
      <x:c r="I33" s="2"/>
      <x:c r="J33" s="21" t="inlineStr">
        <is xmlns="http://schemas.openxmlformats.org/spreadsheetml/2006/main">
          <t xml:space="preserve">10월08일</t>
        </is>
      </x:c>
      <x:c r="K33" s="21"/>
      <x:c r="L33" s="19" t="inlineStr">
        <is xmlns="http://schemas.openxmlformats.org/spreadsheetml/2006/main">
          <t xml:space="preserve">근무</t>
        </is>
      </x:c>
      <x:c r="M33" s="19">
        <v xmlns="http://schemas.openxmlformats.org/spreadsheetml/2006/main">8</v>
      </x:c>
      <x:c r="N33" s="21"/>
      <x:c r="O33" s="19"/>
      <x:c r="P33" s="19"/>
      <x:c r="Q33" s="2"/>
    </x:row>
    <x:row r="34" ht="12" customHeight="1">
      <x:c r="A34" s="2"/>
      <x:c r="B34" s="7" t="inlineStr">
        <is xmlns="http://schemas.openxmlformats.org/spreadsheetml/2006/main">
          <t xml:space="preserve">고용보험 0.9% · 임금·주휴 합산 / 연장 합산 후 각각 10원 미만 절사</t>
        </is>
      </x:c>
      <x:c r="C34" s="7"/>
      <x:c r="D34" s="7"/>
      <x:c r="E34" s="7"/>
      <x:c r="F34" s="7"/>
      <x:c r="G34" s="7"/>
      <x:c r="H34" s="7"/>
      <x:c r="I34" s="2"/>
      <x:c r="J34" s="21"/>
      <x:c r="K34" s="21"/>
      <x:c r="L34" s="19"/>
      <x:c r="M34" s="19"/>
      <x:c r="N34" s="21"/>
      <x:c r="O34" s="19"/>
      <x:c r="P34" s="19"/>
      <x:c r="Q34" s="2"/>
    </x:row>
    <x:row r="35" ht="12" customHeight="1">
      <x:c r="A35" s="2"/>
      <x:c r="B35" s="8" t="inlineStr">
        <is xmlns="http://schemas.openxmlformats.org/spreadsheetml/2006/main">
          <t xml:space="preserve"/>
        </is>
      </x:c>
      <x:c r="C35" s="8"/>
      <x:c r="D35" s="8"/>
      <x:c r="E35" s="8"/>
      <x:c r="F35" s="8"/>
      <x:c r="G35" s="8"/>
      <x:c r="H35" s="8"/>
      <x:c r="I35" s="6"/>
      <x:c r="J35" s="6" t="inlineStr">
        <is xmlns="http://schemas.openxmlformats.org/spreadsheetml/2006/main">
          <t xml:space="preserve">실근로 12일 · 주휴 16.8시간 · 유급휴가·휴일 18시간</t>
        </is>
      </x:c>
      <x:c r="K35" s="6"/>
      <x:c r="L35" s="6"/>
      <x:c r="M35" s="6"/>
      <x:c r="N35" s="6"/>
      <x:c r="O35" s="6"/>
      <x:c r="P35" s="6"/>
      <x:c r="Q35" s="2"/>
    </x:row>
    <x:row r="36" ht="12" customHeight="1">
      <x:c r="A36" s="2"/>
      <x:c r="B36" s="8"/>
      <x:c r="C36" s="8"/>
      <x:c r="D36" s="8"/>
      <x:c r="E36" s="8"/>
      <x:c r="F36" s="8"/>
      <x:c r="G36" s="8"/>
      <x:c r="H36" s="8"/>
      <x:c r="I36" s="6"/>
      <x:c r="J36" s="6"/>
      <x:c r="K36" s="6"/>
      <x:c r="L36" s="6"/>
      <x:c r="M36" s="6"/>
      <x:c r="N36" s="6"/>
      <x:c r="O36" s="6"/>
      <x:c r="P36" s="6"/>
      <x:c r="Q36" s="2"/>
    </x:row>
    <x:row r="37" ht="12" customHeight="1">
      <x:c r="A37" s="2"/>
      <x:c r="B37" s="7" t="str">
        <x:v>출처: 2026 직종참조표 · 보수교육 자료 · 프로그램 입력자료</x:v>
      </x:c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2"/>
    </x:row>
  </x:sheetData>
  <x:mergeCells>
    <x:mergeCell ref="B2:P2"/>
    <x:mergeCell ref="B3:P3"/>
    <x:mergeCell ref="B5:H5"/>
    <x:mergeCell ref="J5:P5"/>
    <x:mergeCell ref="B6:H6"/>
    <x:mergeCell ref="J6:P6"/>
    <x:mergeCell ref="B7:P7"/>
    <x:mergeCell ref="B9:H9"/>
    <x:mergeCell ref="J9:P9"/>
    <x:mergeCell ref="B10:C10"/>
    <x:mergeCell ref="D10:F10"/>
    <x:mergeCell ref="G10:H10"/>
    <x:mergeCell ref="B11:C11"/>
    <x:mergeCell ref="D11:F11"/>
    <x:mergeCell ref="G11:H11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F15"/>
    <x:mergeCell ref="G15:H15"/>
    <x:mergeCell ref="B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N10:O10"/>
    <x:mergeCell ref="N11:O11"/>
    <x:mergeCell ref="N12:O12"/>
    <x:mergeCell ref="N13:O13"/>
    <x:mergeCell ref="N14:O14"/>
    <x:mergeCell ref="N15:O15"/>
    <x:mergeCell ref="J17:P17"/>
    <x:mergeCell ref="J18:K18"/>
    <x:mergeCell ref="J19:K19"/>
    <x:mergeCell ref="J20:K20"/>
    <x:mergeCell ref="J21:K21"/>
    <x:mergeCell ref="J22:K22"/>
    <x:mergeCell ref="J23:K23"/>
    <x:mergeCell ref="J24:K24"/>
    <x:mergeCell ref="J25:K25"/>
    <x:mergeCell ref="J26:K26"/>
    <x:mergeCell ref="J27:K27"/>
    <x:mergeCell ref="J28:K28"/>
    <x:mergeCell ref="J29:K29"/>
    <x:mergeCell ref="J30:K30"/>
    <x:mergeCell ref="J31:K31"/>
    <x:mergeCell ref="J32:K32"/>
    <x:mergeCell ref="J33:K33"/>
    <x:mergeCell ref="J34:K34"/>
    <x:mergeCell ref="B28:H28"/>
    <x:mergeCell ref="B29:H29"/>
    <x:mergeCell ref="B30:H30"/>
    <x:mergeCell ref="B31:H31"/>
    <x:mergeCell ref="B32:H32"/>
    <x:mergeCell ref="B33:H33"/>
    <x:mergeCell ref="B34:H34"/>
    <x:mergeCell ref="B35:H36"/>
    <x:mergeCell ref="J35:P36"/>
    <x:mergeCell ref="B37:P37"/>
  </x:mergeCells>
  <x:pageMargins left="0.3" right="0.3" top="0.4" bottom="0.4" header="0.2" footer="0.2"/>
  <x:pageSetup paperSize="9" orientation="landscape" fitToWidth="1" fitToHeight="1"/>
</x:worksheet>
</file>