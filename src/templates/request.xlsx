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33D7BF5-F526-49B4-994C-0208B7A4562E}" xr6:coauthVersionLast="47" xr6:coauthVersionMax="47" xr10:uidLastSave="{00000000-0000-0000-0000-000000000000}"/>
  <workbookProtection workbookAlgorithmName="SHA-512" workbookHashValue="PEOyCJQHG6CeTo0R6WRZ7tXPlxA1j+e5yvlBVZPAistGqJPiOLxVPYT2GMiceZMrOpPifs5VpY/O04puj2jXXQ==" workbookSaltValue="mp5DIJOeRzr2K/cph84tug==" workbookSpinCount="100000" lockStructure="1"/>
  <bookViews>
    <workbookView xWindow="-120" yWindow="-120" windowWidth="29040" windowHeight="15720" xr2:uid="{00000000-000D-0000-FFFF-FFFF00000000}"/>
  </bookViews>
  <sheets>
    <sheet name="교육청 제출용-1개월미만대체근로자" sheetId="1" r:id="rId1"/>
    <sheet name="은행코드" sheetId="2" state="hidden" r:id="rId2"/>
  </sheets>
  <externalReferences>
    <externalReference r:id="rId3"/>
    <externalReference r:id="rId4"/>
    <externalReference r:id="rId5"/>
  </externalReferences>
  <definedNames>
    <definedName name="_xlnm._FilterDatabase" localSheetId="0" hidden="1">'교육청 제출용-1개월미만대체근로자'!$A$1:$AR$23</definedName>
    <definedName name="mes_10000">[1]Data!#REF!</definedName>
    <definedName name="mes_10001">[1]Data!#REF!</definedName>
    <definedName name="mes_10002">[1]Data!#REF!</definedName>
    <definedName name="mes_10003">[1]Data!#REF!</definedName>
    <definedName name="mes_10004">[1]Data!#REF!</definedName>
    <definedName name="mes_10005">[1]Data!#REF!</definedName>
    <definedName name="mes_10006">[1]Data!#REF!</definedName>
    <definedName name="mes_10007">[1]Data!#REF!</definedName>
    <definedName name="mes_10008">[1]Data!#REF!</definedName>
    <definedName name="mes_10009">[1]Data!#REF!</definedName>
    <definedName name="mes_10010">[1]Data!#REF!</definedName>
    <definedName name="mes_10011">[1]Data!#REF!</definedName>
    <definedName name="mes_10012">[1]Data!#REF!</definedName>
    <definedName name="mes_10013">[1]Data!#REF!</definedName>
    <definedName name="mes_10014">[1]Data!#REF!</definedName>
    <definedName name="mes_10015">[1]Data!#REF!</definedName>
    <definedName name="mes_10016">[1]Data!#REF!</definedName>
    <definedName name="mes_40001">[1]Data!#REF!</definedName>
    <definedName name="mes_40002">[1]Data!#REF!</definedName>
    <definedName name="mes_40003">[1]Data!#REF!</definedName>
    <definedName name="mes_40004">[1]Data!#REF!</definedName>
    <definedName name="mes_40005">[1]Data!#REF!</definedName>
    <definedName name="mes_40006">[1]Data!#REF!</definedName>
    <definedName name="mes_40007">[1]Data!#REF!</definedName>
    <definedName name="mes_40008">[1]Data!#REF!</definedName>
    <definedName name="mes_40009">[1]Data!#REF!</definedName>
    <definedName name="mes_40010">[1]Data!#REF!</definedName>
    <definedName name="_xlnm.Print_Area" localSheetId="0">'교육청 제출용-1개월미만대체근로자'!$A$1:$AR$34</definedName>
    <definedName name="sys_addMonth">[1]Data!#REF!</definedName>
    <definedName name="sys_corporationCode">[1]Data!#REF!</definedName>
    <definedName name="sys_divisionCode">[1]Data!#REF!</definedName>
    <definedName name="sys_downDate">[1]Data!#REF!</definedName>
    <definedName name="sys_downFolder">[1]Data!#REF!</definedName>
    <definedName name="sys_dwonDate">[1]Data!#REF!</definedName>
    <definedName name="sys_editFile">[1]Data!#REF!</definedName>
    <definedName name="sys_editFolder">[1]Data!#REF!</definedName>
    <definedName name="sys_inqFolder">[1]Data!#REF!</definedName>
    <definedName name="sys_inqKey">[1]Data!#REF!</definedName>
    <definedName name="sys_monthFrom">[1]Data!#REF!</definedName>
    <definedName name="sys_monthTerm">[1]Data!#REF!</definedName>
    <definedName name="sys_monthTo">[1]Data!#REF!</definedName>
    <definedName name="sys_openChk">[1]Data!#REF!</definedName>
    <definedName name="sys_orgType">[1]Data!#REF!</definedName>
    <definedName name="sys_password">[1]Data!#REF!</definedName>
    <definedName name="sys_scenarioType">[1]Data!#REF!</definedName>
    <definedName name="sys_serverUrl">[1]Data!#REF!</definedName>
    <definedName name="sys_templateFolder">[1]Data!#REF!</definedName>
    <definedName name="sys_templateKey">[1]Data!#REF!</definedName>
    <definedName name="sys_templateParam">[1]Data!#REF!</definedName>
    <definedName name="sys_templateRetrieve">[1]Data!#REF!</definedName>
    <definedName name="sys_version">[1]Data!#REF!</definedName>
    <definedName name="sys_versionId">[1]Data!#REF!</definedName>
    <definedName name="sys_xlsKey">[1]Data!#REF!</definedName>
    <definedName name="templateRetrieve">[1]Data!#REF!</definedName>
    <definedName name="본서">[2]본서하반기!$F$6:$FQ$326</definedName>
    <definedName name="은행목록">은행코드!$D$4:$D$123</definedName>
    <definedName name="전입" localSheetId="0">#REF!</definedName>
    <definedName name="전입">#REF!</definedName>
    <definedName name="테스트" localSheetId="0">'교육청 제출용-1개월미만대체근로자'!#REF!</definedName>
    <definedName name="테스트">#REF!</definedName>
    <definedName name="파출소">'[2]하반기(지구대)'!$F$8:$FQ$272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J21" i="2" l="1"/>
  <c r="IJ20" i="2"/>
  <c r="IJ12" i="2"/>
  <c r="IJ11" i="2"/>
  <c r="IJ8" i="2"/>
  <c r="IJ7" i="2"/>
  <c r="IJ13" i="2"/>
  <c r="IJ6" i="2"/>
  <c r="IJ4" i="2"/>
  <c r="IJ22" i="2"/>
  <c r="IJ25" i="2"/>
  <c r="IJ24" i="2"/>
  <c r="IJ23" i="2"/>
  <c r="M20" i="1"/>
  <c r="N20" i="1"/>
  <c r="M21" i="1"/>
  <c r="N21" i="1"/>
  <c r="M22" i="1"/>
  <c r="N22" i="1"/>
  <c r="M23" i="1"/>
  <c r="N23" i="1"/>
  <c r="Q12" i="1"/>
  <c r="W12" i="1" s="1"/>
  <c r="Q10" i="1"/>
  <c r="W10" i="1" s="1"/>
  <c r="Q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6" i="1"/>
  <c r="M7" i="1"/>
  <c r="M8" i="1"/>
  <c r="M9" i="1"/>
  <c r="M10" i="1"/>
  <c r="M11" i="1"/>
  <c r="M12" i="1"/>
  <c r="M13" i="1"/>
  <c r="M14" i="1"/>
  <c r="Q14" i="1" s="1"/>
  <c r="M15" i="1"/>
  <c r="M16" i="1"/>
  <c r="M17" i="1"/>
  <c r="M18" i="1"/>
  <c r="M19" i="1"/>
  <c r="M6" i="1"/>
  <c r="Q22" i="1" l="1"/>
  <c r="AF22" i="1" s="1"/>
  <c r="Q23" i="1"/>
  <c r="AF23" i="1" s="1"/>
  <c r="Q21" i="1"/>
  <c r="W21" i="1" s="1"/>
  <c r="Q20" i="1"/>
  <c r="AF20" i="1" s="1"/>
  <c r="Q18" i="1"/>
  <c r="W18" i="1" s="1"/>
  <c r="Q17" i="1"/>
  <c r="W17" i="1" s="1"/>
  <c r="Q16" i="1"/>
  <c r="W16" i="1" s="1"/>
  <c r="Q15" i="1"/>
  <c r="W15" i="1" s="1"/>
  <c r="Q7" i="1"/>
  <c r="W7" i="1" s="1"/>
  <c r="Q8" i="1"/>
  <c r="W8" i="1" s="1"/>
  <c r="Q13" i="1"/>
  <c r="W13" i="1" s="1"/>
  <c r="Q11" i="1"/>
  <c r="AF11" i="1" s="1"/>
  <c r="Q19" i="1"/>
  <c r="W19" i="1" s="1"/>
  <c r="Q9" i="1"/>
  <c r="W9" i="1" s="1"/>
  <c r="W14" i="1"/>
  <c r="W22" i="1" l="1"/>
  <c r="AG22" i="1" s="1"/>
  <c r="AO22" i="1" s="1"/>
  <c r="AQ22" i="1" s="1"/>
  <c r="AR22" i="1" s="1"/>
  <c r="W20" i="1"/>
  <c r="W23" i="1"/>
  <c r="AG23" i="1" s="1"/>
  <c r="AF17" i="1"/>
  <c r="AF21" i="1"/>
  <c r="AG21" i="1" s="1"/>
  <c r="AG20" i="1"/>
  <c r="W11" i="1"/>
  <c r="AG11" i="1" s="1"/>
  <c r="AO11" i="1" s="1"/>
  <c r="AQ11" i="1" s="1"/>
  <c r="AR11" i="1" s="1"/>
  <c r="AF7" i="1"/>
  <c r="AG7" i="1" s="1"/>
  <c r="AG17" i="1"/>
  <c r="W6" i="1"/>
  <c r="AF6" i="1"/>
  <c r="AF15" i="1"/>
  <c r="AG15" i="1" s="1"/>
  <c r="AO15" i="1" s="1"/>
  <c r="AQ15" i="1" s="1"/>
  <c r="AR15" i="1" s="1"/>
  <c r="AF19" i="1"/>
  <c r="AG19" i="1" s="1"/>
  <c r="AF16" i="1"/>
  <c r="AG16" i="1" s="1"/>
  <c r="AF18" i="1"/>
  <c r="AG18" i="1" s="1"/>
  <c r="AF12" i="1"/>
  <c r="AG12" i="1" s="1"/>
  <c r="AF10" i="1"/>
  <c r="AG10" i="1" s="1"/>
  <c r="AF8" i="1"/>
  <c r="AG8" i="1" s="1"/>
  <c r="AF14" i="1"/>
  <c r="AF13" i="1"/>
  <c r="AF9" i="1"/>
  <c r="AG9" i="1" s="1"/>
  <c r="W2" i="1" l="1"/>
  <c r="AO20" i="1"/>
  <c r="AQ20" i="1" s="1"/>
  <c r="AR20" i="1" s="1"/>
  <c r="AO21" i="1"/>
  <c r="AQ21" i="1" s="1"/>
  <c r="AR21" i="1" s="1"/>
  <c r="AO23" i="1"/>
  <c r="AQ23" i="1" s="1"/>
  <c r="AR23" i="1" s="1"/>
  <c r="AG14" i="1"/>
  <c r="AG2" i="1" s="1"/>
  <c r="AF2" i="1"/>
  <c r="AG6" i="1"/>
  <c r="AO6" i="1" s="1"/>
  <c r="AQ6" i="1" s="1"/>
  <c r="AG13" i="1"/>
  <c r="AO13" i="1" s="1"/>
  <c r="AQ13" i="1" s="1"/>
  <c r="AR13" i="1" s="1"/>
  <c r="AO18" i="1"/>
  <c r="AQ18" i="1" s="1"/>
  <c r="AR18" i="1" s="1"/>
  <c r="AO12" i="1"/>
  <c r="AQ12" i="1" s="1"/>
  <c r="AR12" i="1" s="1"/>
  <c r="AO16" i="1"/>
  <c r="AQ16" i="1" s="1"/>
  <c r="AR16" i="1" s="1"/>
  <c r="AO17" i="1"/>
  <c r="AQ17" i="1" s="1"/>
  <c r="AR17" i="1" s="1"/>
  <c r="AO19" i="1"/>
  <c r="AQ19" i="1" s="1"/>
  <c r="AR19" i="1" s="1"/>
  <c r="AO10" i="1"/>
  <c r="AQ10" i="1" s="1"/>
  <c r="AR10" i="1" s="1"/>
  <c r="AO8" i="1"/>
  <c r="AO7" i="1"/>
  <c r="AQ7" i="1" s="1"/>
  <c r="AR7" i="1" s="1"/>
  <c r="AO9" i="1"/>
  <c r="AQ9" i="1" s="1"/>
  <c r="AR9" i="1" s="1"/>
  <c r="AO14" i="1" l="1"/>
  <c r="AQ14" i="1" s="1"/>
  <c r="AQ8" i="1"/>
  <c r="AR6" i="1"/>
  <c r="AO2" i="1" l="1"/>
  <c r="AR14" i="1"/>
  <c r="AR2" i="1" s="1"/>
  <c r="AQ2" i="1"/>
  <c r="AR8" i="1"/>
</calcChain>
</file>

<file path=xl/sharedStrings.xml><?xml version="1.0" encoding="utf-8"?>
<sst xmlns="http://schemas.openxmlformats.org/spreadsheetml/2006/main" count="344" uniqueCount="285">
  <si>
    <t>(단위: 원)</t>
    <phoneticPr fontId="3" type="noConversion"/>
  </si>
  <si>
    <t>근로자정보</t>
    <phoneticPr fontId="4" type="noConversion"/>
  </si>
  <si>
    <t>수당내역</t>
    <phoneticPr fontId="3" type="noConversion"/>
  </si>
  <si>
    <t>공제내역</t>
    <phoneticPr fontId="3" type="noConversion"/>
  </si>
  <si>
    <t>근로자 
실지급액
(1)-(2)
★근로자 입금★</t>
    <phoneticPr fontId="3" type="noConversion"/>
  </si>
  <si>
    <t>연번</t>
    <phoneticPr fontId="4" type="noConversion"/>
  </si>
  <si>
    <t>수신자
기호</t>
    <phoneticPr fontId="4" type="noConversion"/>
  </si>
  <si>
    <t>담당자명</t>
    <phoneticPr fontId="4" type="noConversion"/>
  </si>
  <si>
    <t>직종</t>
    <phoneticPr fontId="3" type="noConversion"/>
  </si>
  <si>
    <t>성명</t>
  </si>
  <si>
    <t>은행명</t>
    <phoneticPr fontId="3" type="noConversion"/>
  </si>
  <si>
    <t>계좌번호</t>
    <phoneticPr fontId="3" type="noConversion"/>
  </si>
  <si>
    <t>예금주</t>
    <phoneticPr fontId="3" type="noConversion"/>
  </si>
  <si>
    <t>식대</t>
    <phoneticPr fontId="3" type="noConversion"/>
  </si>
  <si>
    <t>소득세</t>
    <phoneticPr fontId="3" type="noConversion"/>
  </si>
  <si>
    <t>주민세</t>
    <phoneticPr fontId="3" type="noConversion"/>
  </si>
  <si>
    <t>(개인부담금)
노인장기
요양보험</t>
    <phoneticPr fontId="3" type="noConversion"/>
  </si>
  <si>
    <t>본청</t>
    <phoneticPr fontId="4" type="noConversion"/>
  </si>
  <si>
    <t>휴직</t>
    <phoneticPr fontId="4" type="noConversion"/>
  </si>
  <si>
    <t>남부</t>
    <phoneticPr fontId="4" type="noConversion"/>
  </si>
  <si>
    <t>결원</t>
    <phoneticPr fontId="4" type="noConversion"/>
  </si>
  <si>
    <t>북부</t>
    <phoneticPr fontId="4" type="noConversion"/>
  </si>
  <si>
    <t>결원(정년)</t>
    <phoneticPr fontId="4" type="noConversion"/>
  </si>
  <si>
    <t>동부</t>
    <phoneticPr fontId="4" type="noConversion"/>
  </si>
  <si>
    <t>결월(발령미충원)</t>
    <phoneticPr fontId="4" type="noConversion"/>
  </si>
  <si>
    <t>서부</t>
    <phoneticPr fontId="4" type="noConversion"/>
  </si>
  <si>
    <t>강화</t>
    <phoneticPr fontId="4" type="noConversion"/>
  </si>
  <si>
    <t>※ 금액단위 : 원</t>
    <phoneticPr fontId="10" type="noConversion"/>
  </si>
  <si>
    <r>
      <t xml:space="preserve">   - 작성대상 : 원근로자 대체근로자 발생시 작성 </t>
    </r>
    <r>
      <rPr>
        <b/>
        <sz val="11"/>
        <color rgb="FFFF0000"/>
        <rFont val="맑은 고딕"/>
        <family val="3"/>
        <charset val="129"/>
        <scheme val="major"/>
      </rPr>
      <t>(1개월 미만 기간제근로자)</t>
    </r>
    <phoneticPr fontId="10" type="noConversion"/>
  </si>
  <si>
    <t>※ 인원추가시 행삽입</t>
    <phoneticPr fontId="10" type="noConversion"/>
  </si>
  <si>
    <t>기관 및 담당자 정보</t>
    <phoneticPr fontId="4" type="noConversion"/>
  </si>
  <si>
    <r>
      <t>※ 대체 근로자 개인별 소요액 작성 (</t>
    </r>
    <r>
      <rPr>
        <b/>
        <sz val="11"/>
        <color rgb="FFFF0000"/>
        <rFont val="맑은 고딕"/>
        <family val="3"/>
        <charset val="129"/>
        <scheme val="major"/>
      </rPr>
      <t xml:space="preserve"> O열의 총 수당 - W열 총 공제 = X열 근로자 실지급액 최종확인</t>
    </r>
    <r>
      <rPr>
        <b/>
        <sz val="11"/>
        <rFont val="맑은 고딕"/>
        <family val="3"/>
        <charset val="129"/>
        <scheme val="major"/>
      </rPr>
      <t>)</t>
    </r>
    <phoneticPr fontId="10" type="noConversion"/>
  </si>
  <si>
    <t xml:space="preserve">   - 휴가별 예산지원 내역(2023년 교육감소속근로자 인건비 통합지급계획) 참고 후 대상자만 작성(근로자별 별도 행 작성, 직종은 원근로자 직종으로 기재)</t>
    <phoneticPr fontId="10" type="noConversion"/>
  </si>
  <si>
    <r>
      <t xml:space="preserve">(개인부담금)
고용보험
</t>
    </r>
    <r>
      <rPr>
        <b/>
        <sz val="11"/>
        <color rgb="FFFF0000"/>
        <rFont val="맑은 고딕"/>
        <family val="3"/>
        <charset val="129"/>
        <scheme val="minor"/>
      </rPr>
      <t>★필수공제★</t>
    </r>
    <phoneticPr fontId="3" type="noConversion"/>
  </si>
  <si>
    <t>※ 고용보험 가입 대상 근로자(일용근로자 포함) 반드시 신고 및 보험료 공제 (관련: 노사협력과-9850 '학교 관련 고용보험 피보험자격 과태료 부과방안 안내')</t>
    <phoneticPr fontId="3" type="noConversion"/>
  </si>
  <si>
    <t xml:space="preserve">   - 근로자정보란(노란색)에 1) 원근로자 이름, 2) 대체사유, 3) 대체기간 반드시 명시  4) 산출식 상세기재</t>
    <phoneticPr fontId="10" type="noConversion"/>
  </si>
  <si>
    <t>구분</t>
    <phoneticPr fontId="3" type="noConversion"/>
  </si>
  <si>
    <t xml:space="preserve">(개인부담금)건강보험
</t>
    <phoneticPr fontId="3" type="noConversion"/>
  </si>
  <si>
    <t xml:space="preserve">(개인부담금)
국민연금
</t>
    <phoneticPr fontId="3" type="noConversion"/>
  </si>
  <si>
    <r>
      <t xml:space="preserve">(개인부담금)
고용보험
</t>
    </r>
    <r>
      <rPr>
        <b/>
        <sz val="11"/>
        <color rgb="FFFF0000"/>
        <rFont val="맑은 고딕"/>
        <family val="3"/>
        <charset val="129"/>
        <scheme val="minor"/>
      </rPr>
      <t>★면제대상 사유 기재</t>
    </r>
    <phoneticPr fontId="3" type="noConversion"/>
  </si>
  <si>
    <t>당직
여부
(O,x)</t>
    <phoneticPr fontId="3" type="noConversion"/>
  </si>
  <si>
    <r>
      <t xml:space="preserve">고용공제
</t>
    </r>
    <r>
      <rPr>
        <b/>
        <u/>
        <sz val="11"/>
        <color rgb="FFFF0000"/>
        <rFont val="맑은 고딕"/>
        <family val="3"/>
        <charset val="129"/>
        <scheme val="minor"/>
      </rPr>
      <t>제외대상</t>
    </r>
    <phoneticPr fontId="3" type="noConversion"/>
  </si>
  <si>
    <t>기본급
(가)</t>
    <phoneticPr fontId="3" type="noConversion"/>
  </si>
  <si>
    <t>정액급식비
(나)</t>
    <phoneticPr fontId="3" type="noConversion"/>
  </si>
  <si>
    <t>직종별
직무수당
(다)</t>
    <phoneticPr fontId="3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</si>
  <si>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통상시급
</t>
    </r>
    <r>
      <rPr>
        <b/>
        <sz val="11"/>
        <color rgb="FF3706C0"/>
        <rFont val="맑은 고딕"/>
        <family val="3"/>
        <charset val="129"/>
        <scheme val="minor"/>
      </rPr>
      <t>★=(가+나+다)/라</t>
    </r>
    <phoneticPr fontId="3" type="noConversion"/>
  </si>
  <si>
    <t>1일 임금
유급시간
(마)</t>
    <phoneticPr fontId="3" type="noConversion"/>
  </si>
  <si>
    <t>근로
유급
일수
(바)</t>
    <phoneticPr fontId="3" type="noConversion"/>
  </si>
  <si>
    <t>주휴일
비례
여부
(사)</t>
    <phoneticPr fontId="3" type="noConversion"/>
  </si>
  <si>
    <r>
      <t xml:space="preserve">기관명
</t>
    </r>
    <r>
      <rPr>
        <b/>
        <sz val="14"/>
        <color rgb="FFFF0000"/>
        <rFont val="맑은 고딕"/>
        <family val="3"/>
        <charset val="129"/>
        <scheme val="minor"/>
      </rPr>
      <t xml:space="preserve">(정식기관명칭)
</t>
    </r>
    <r>
      <rPr>
        <b/>
        <sz val="14"/>
        <color rgb="FF3706C0"/>
        <rFont val="맑은 고딕"/>
        <family val="3"/>
        <charset val="129"/>
        <scheme val="minor"/>
      </rPr>
      <t>예)인천광역시교육청OO도서관</t>
    </r>
    <phoneticPr fontId="4" type="noConversion"/>
  </si>
  <si>
    <t>주휴일
지급
일수
(아)</t>
    <phoneticPr fontId="3" type="noConversion"/>
  </si>
  <si>
    <t>주휴일
시간수
(자)</t>
    <phoneticPr fontId="3" type="noConversion"/>
  </si>
  <si>
    <t>유형</t>
    <phoneticPr fontId="3" type="noConversion"/>
  </si>
  <si>
    <r>
      <rPr>
        <b/>
        <u/>
        <sz val="12"/>
        <color rgb="FFFF0000"/>
        <rFont val="맑은 고딕"/>
        <family val="3"/>
        <charset val="129"/>
        <scheme val="minor"/>
      </rPr>
      <t>주15시간</t>
    </r>
    <r>
      <rPr>
        <b/>
        <sz val="12"/>
        <color rgb="FFFF0000"/>
        <rFont val="맑은 고딕"/>
        <family val="3"/>
        <charset val="129"/>
        <scheme val="minor"/>
      </rPr>
      <t xml:space="preserve">
기준
(미만,이상)</t>
    </r>
    <phoneticPr fontId="3" type="noConversion"/>
  </si>
  <si>
    <t>조리실무사</t>
  </si>
  <si>
    <t>김OO</t>
    <phoneticPr fontId="3" type="noConversion"/>
  </si>
  <si>
    <t>2유형</t>
  </si>
  <si>
    <t>이상</t>
  </si>
  <si>
    <t>특운-당직전담실무원</t>
  </si>
  <si>
    <t>미만</t>
  </si>
  <si>
    <t>X</t>
  </si>
  <si>
    <r>
      <t xml:space="preserve">총 </t>
    </r>
    <r>
      <rPr>
        <b/>
        <u/>
        <sz val="11"/>
        <color rgb="FFFF0000"/>
        <rFont val="맑은 고딕"/>
        <family val="3"/>
        <charset val="129"/>
        <scheme val="minor"/>
      </rPr>
      <t xml:space="preserve">연장 </t>
    </r>
    <r>
      <rPr>
        <b/>
        <sz val="11"/>
        <color theme="1"/>
        <rFont val="맑은 고딕"/>
        <family val="3"/>
        <charset val="129"/>
        <scheme val="minor"/>
      </rPr>
      <t>근로</t>
    </r>
    <phoneticPr fontId="3" type="noConversion"/>
  </si>
  <si>
    <r>
      <t xml:space="preserve">총 </t>
    </r>
    <r>
      <rPr>
        <b/>
        <u/>
        <sz val="11"/>
        <color theme="8" tint="-0.249977111117893"/>
        <rFont val="맑은 고딕"/>
        <family val="3"/>
        <charset val="129"/>
        <scheme val="minor"/>
      </rPr>
      <t xml:space="preserve">법내 </t>
    </r>
    <r>
      <rPr>
        <b/>
        <sz val="11"/>
        <color theme="1"/>
        <rFont val="맑은 고딕"/>
        <family val="3"/>
        <charset val="129"/>
        <scheme val="minor"/>
      </rPr>
      <t>초과근로</t>
    </r>
    <phoneticPr fontId="3" type="noConversion"/>
  </si>
  <si>
    <r>
      <t xml:space="preserve">총 </t>
    </r>
    <r>
      <rPr>
        <b/>
        <u/>
        <sz val="11"/>
        <color theme="5"/>
        <rFont val="맑은 고딕"/>
        <family val="3"/>
        <charset val="129"/>
        <scheme val="minor"/>
      </rPr>
      <t xml:space="preserve">야간 </t>
    </r>
    <r>
      <rPr>
        <b/>
        <sz val="11"/>
        <color theme="1"/>
        <rFont val="맑은 고딕"/>
        <family val="3"/>
        <charset val="129"/>
        <scheme val="minor"/>
      </rPr>
      <t>근로</t>
    </r>
    <phoneticPr fontId="3" type="noConversion"/>
  </si>
  <si>
    <t>시</t>
    <phoneticPr fontId="3" type="noConversion"/>
  </si>
  <si>
    <t>분</t>
    <phoneticPr fontId="3" type="noConversion"/>
  </si>
  <si>
    <r>
      <rPr>
        <b/>
        <sz val="14"/>
        <color theme="1"/>
        <rFont val="맑은 고딕"/>
        <family val="3"/>
        <charset val="129"/>
        <scheme val="minor"/>
      </rPr>
      <t>기본급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A(15시간미만)</t>
    </r>
    <r>
      <rPr>
        <b/>
        <sz val="11"/>
        <color rgb="FF3706C0"/>
        <rFont val="맑은 고딕"/>
        <family val="3"/>
        <charset val="129"/>
        <scheme val="minor"/>
      </rPr>
      <t xml:space="preserve">=
(★*마*바)
</t>
    </r>
    <r>
      <rPr>
        <b/>
        <sz val="11"/>
        <color rgb="FFFF0000"/>
        <rFont val="맑은 고딕"/>
        <family val="3"/>
        <charset val="129"/>
        <scheme val="minor"/>
      </rPr>
      <t>A(15시간이상)</t>
    </r>
    <r>
      <rPr>
        <b/>
        <sz val="11"/>
        <color rgb="FF3706C0"/>
        <rFont val="맑은 고딕"/>
        <family val="3"/>
        <charset val="129"/>
        <scheme val="minor"/>
      </rPr>
      <t xml:space="preserve">=
</t>
    </r>
    <r>
      <rPr>
        <b/>
        <sz val="10"/>
        <color rgb="FF3706C0"/>
        <rFont val="맑은 고딕"/>
        <family val="3"/>
        <charset val="129"/>
        <scheme val="minor"/>
      </rPr>
      <t>(★*마*바)</t>
    </r>
    <r>
      <rPr>
        <b/>
        <sz val="10"/>
        <color rgb="FFFF0000"/>
        <rFont val="맑은 고딕"/>
        <family val="3"/>
        <charset val="129"/>
        <scheme val="minor"/>
      </rPr>
      <t>+</t>
    </r>
    <r>
      <rPr>
        <b/>
        <sz val="10"/>
        <color rgb="FF3706C0"/>
        <rFont val="맑은 고딕"/>
        <family val="3"/>
        <charset val="129"/>
        <scheme val="minor"/>
      </rPr>
      <t>(★*아*자)</t>
    </r>
    <phoneticPr fontId="3" type="noConversion"/>
  </si>
  <si>
    <t>1유형</t>
  </si>
  <si>
    <t>(임금산정시간)
월소정근로시간
(라)</t>
    <phoneticPr fontId="3" type="noConversion"/>
  </si>
  <si>
    <t>2인 당직</t>
  </si>
  <si>
    <t>소급.환수액</t>
    <phoneticPr fontId="3" type="noConversion"/>
  </si>
  <si>
    <t>③연장(야간)근로수당</t>
    <phoneticPr fontId="3" type="noConversion"/>
  </si>
  <si>
    <t>B
(임금협약)
통상임금
변경 적용</t>
    <phoneticPr fontId="3" type="noConversion"/>
  </si>
  <si>
    <t>연장(야간)
근로수당
지급액
(D)=★×시.분</t>
    <phoneticPr fontId="3" type="noConversion"/>
  </si>
  <si>
    <t>수당총계
(1)=(A+B+D)</t>
    <phoneticPr fontId="3" type="noConversion"/>
  </si>
  <si>
    <r>
      <t xml:space="preserve">공제총계
(기관별)
★세외 입금★
</t>
    </r>
    <r>
      <rPr>
        <b/>
        <sz val="18"/>
        <color theme="1"/>
        <rFont val="맑은 고딕"/>
        <family val="3"/>
        <charset val="129"/>
        <scheme val="minor"/>
      </rPr>
      <t>(2)</t>
    </r>
    <phoneticPr fontId="3" type="noConversion"/>
  </si>
  <si>
    <t>1인 당직</t>
  </si>
  <si>
    <t>사서</t>
    <phoneticPr fontId="3" type="noConversion"/>
  </si>
  <si>
    <t>조리실무사</t>
    <phoneticPr fontId="3" type="noConversion"/>
  </si>
  <si>
    <t xml:space="preserve">사서 원근로자 OOO의 병가 대체(2026.3.11.~3. 20.) </t>
    <phoneticPr fontId="3" type="noConversion"/>
  </si>
  <si>
    <t>1인 당직 OOO의 연차 대체(2026.3.16)</t>
  </si>
  <si>
    <t>1인 당직 OOO의 연차 대체(2026.3.16-3.18)</t>
  </si>
  <si>
    <t>2인 당직 OOO의 연차 대체(2026.3.15.)</t>
  </si>
  <si>
    <t>2인 당직 OOO의 연차 대체(2026.3.16, 3.18)</t>
  </si>
  <si>
    <t>x</t>
  </si>
  <si>
    <t>O</t>
  </si>
  <si>
    <r>
      <t xml:space="preserve">① 기간제 근무 사유(원근로자 이름, 사유) 및 대체 기간
</t>
    </r>
    <r>
      <rPr>
        <b/>
        <sz val="11"/>
        <color rgb="FFFF0000"/>
        <rFont val="맑은 고딕"/>
        <family val="3"/>
        <charset val="129"/>
        <scheme val="minor"/>
      </rPr>
      <t>②산출식 상세 기재
(예: 주15시간 미만 10,320원*0시간*0일=00,000원)
(예: 주15시간 이상 00,0000원*0시간*0일=000,000원)</t>
    </r>
    <phoneticPr fontId="4" type="noConversion"/>
  </si>
  <si>
    <t>*예시는 남겨두고 작성 (행 삭제나 숨기기 금지)</t>
    <phoneticPr fontId="3" type="noConversion"/>
  </si>
  <si>
    <t>가OO</t>
    <phoneticPr fontId="3" type="noConversion"/>
  </si>
  <si>
    <t>나OO</t>
    <phoneticPr fontId="3" type="noConversion"/>
  </si>
  <si>
    <t>다OO</t>
    <phoneticPr fontId="3" type="noConversion"/>
  </si>
  <si>
    <t>라OO</t>
    <phoneticPr fontId="3" type="noConversion"/>
  </si>
  <si>
    <t>마OO</t>
    <phoneticPr fontId="3" type="noConversion"/>
  </si>
  <si>
    <t>바OO</t>
    <phoneticPr fontId="3" type="noConversion"/>
  </si>
  <si>
    <t>사OO</t>
    <phoneticPr fontId="3" type="noConversion"/>
  </si>
  <si>
    <t>아OO</t>
    <phoneticPr fontId="3" type="noConversion"/>
  </si>
  <si>
    <r>
      <rPr>
        <b/>
        <sz val="10"/>
        <rFont val="돋움"/>
        <family val="3"/>
        <charset val="129"/>
      </rPr>
      <t>은행코드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참고</t>
    </r>
    <phoneticPr fontId="42" type="noConversion"/>
  </si>
  <si>
    <t>순번</t>
    <phoneticPr fontId="4" type="noConversion"/>
  </si>
  <si>
    <t>은행코드</t>
    <phoneticPr fontId="4" type="noConversion"/>
  </si>
  <si>
    <t>은행명</t>
    <phoneticPr fontId="4" type="noConversion"/>
  </si>
  <si>
    <t>001</t>
  </si>
  <si>
    <t>한국은행</t>
  </si>
  <si>
    <t>Y</t>
    <phoneticPr fontId="42" type="noConversion"/>
  </si>
  <si>
    <t>002</t>
  </si>
  <si>
    <t>산업은행</t>
  </si>
  <si>
    <t>003</t>
  </si>
  <si>
    <t>기업은행</t>
  </si>
  <si>
    <t>004</t>
  </si>
  <si>
    <t>국민은행</t>
  </si>
  <si>
    <t>005</t>
  </si>
  <si>
    <t>007</t>
  </si>
  <si>
    <t>수협은행</t>
  </si>
  <si>
    <t>008</t>
  </si>
  <si>
    <t>수출입은행</t>
  </si>
  <si>
    <t>011</t>
  </si>
  <si>
    <t>농협은행</t>
  </si>
  <si>
    <t>020</t>
  </si>
  <si>
    <t>우리은행</t>
  </si>
  <si>
    <t>023</t>
  </si>
  <si>
    <t>SC제일은행</t>
  </si>
  <si>
    <t>027</t>
  </si>
  <si>
    <t>한국씨티은행</t>
  </si>
  <si>
    <t>031</t>
  </si>
  <si>
    <t>아이엠뱅크(구 대구은행)</t>
  </si>
  <si>
    <t>032</t>
  </si>
  <si>
    <t>부산은행</t>
  </si>
  <si>
    <t>034</t>
  </si>
  <si>
    <t>광주은행</t>
  </si>
  <si>
    <t>035</t>
  </si>
  <si>
    <t>제주은행</t>
  </si>
  <si>
    <t>037</t>
  </si>
  <si>
    <t>전북은행</t>
  </si>
  <si>
    <t>039</t>
  </si>
  <si>
    <t>경남은행</t>
  </si>
  <si>
    <t>041</t>
  </si>
  <si>
    <t>우리카드</t>
  </si>
  <si>
    <t>044</t>
  </si>
  <si>
    <t>외환카드</t>
  </si>
  <si>
    <t>045</t>
  </si>
  <si>
    <t>새마을금고중앙회</t>
  </si>
  <si>
    <t>048</t>
  </si>
  <si>
    <t>신협</t>
  </si>
  <si>
    <t>050</t>
  </si>
  <si>
    <t>저축은행</t>
  </si>
  <si>
    <t>052</t>
  </si>
  <si>
    <t>모건스탠리은행</t>
  </si>
  <si>
    <t>054</t>
  </si>
  <si>
    <t>HSBC은행</t>
  </si>
  <si>
    <t>055</t>
  </si>
  <si>
    <t>도이치은행</t>
  </si>
  <si>
    <t>057</t>
  </si>
  <si>
    <t>제이피모간체이스은행</t>
  </si>
  <si>
    <t>058</t>
  </si>
  <si>
    <t>미즈호은행</t>
  </si>
  <si>
    <t>059</t>
  </si>
  <si>
    <t>엠유에프지은행</t>
  </si>
  <si>
    <t>060</t>
  </si>
  <si>
    <t>BOA은행</t>
  </si>
  <si>
    <t>061</t>
  </si>
  <si>
    <t>비엔피파리바은행</t>
  </si>
  <si>
    <t>062</t>
  </si>
  <si>
    <t>중국공상은행</t>
  </si>
  <si>
    <t>063</t>
  </si>
  <si>
    <t>중국은행</t>
  </si>
  <si>
    <t>064</t>
  </si>
  <si>
    <t>산림조합중앙회</t>
  </si>
  <si>
    <t>065</t>
  </si>
  <si>
    <t>대화은행</t>
  </si>
  <si>
    <t>066</t>
  </si>
  <si>
    <t>교통은행</t>
  </si>
  <si>
    <t>067</t>
  </si>
  <si>
    <t>중국건설은행</t>
  </si>
  <si>
    <t>071</t>
  </si>
  <si>
    <t>우체국</t>
  </si>
  <si>
    <t>076</t>
  </si>
  <si>
    <t>신용보증기금</t>
  </si>
  <si>
    <t>077</t>
  </si>
  <si>
    <t>기술보증기금</t>
  </si>
  <si>
    <t>081</t>
  </si>
  <si>
    <t>KEB하나은행</t>
  </si>
  <si>
    <t>088</t>
  </si>
  <si>
    <t>신한은행</t>
  </si>
  <si>
    <t>089</t>
  </si>
  <si>
    <t>케이뱅크</t>
  </si>
  <si>
    <t>090</t>
  </si>
  <si>
    <t>카카오뱅크</t>
  </si>
  <si>
    <t>092</t>
    <phoneticPr fontId="4" type="noConversion"/>
  </si>
  <si>
    <t>토스뱅크</t>
    <phoneticPr fontId="4" type="noConversion"/>
  </si>
  <si>
    <t>101</t>
  </si>
  <si>
    <t>한국신용정보원</t>
  </si>
  <si>
    <t>209</t>
  </si>
  <si>
    <t>유안타증권</t>
  </si>
  <si>
    <t>218</t>
  </si>
  <si>
    <t>KB증권</t>
  </si>
  <si>
    <t>221</t>
  </si>
  <si>
    <t>상상인증권</t>
  </si>
  <si>
    <t>222</t>
  </si>
  <si>
    <t>한양증권</t>
  </si>
  <si>
    <t>223</t>
  </si>
  <si>
    <t>리딩투자증권</t>
  </si>
  <si>
    <t>224</t>
  </si>
  <si>
    <t>BNK투자증권</t>
  </si>
  <si>
    <t>225</t>
  </si>
  <si>
    <t>IBK투자증권</t>
  </si>
  <si>
    <t>227</t>
  </si>
  <si>
    <t>KTB투자증권</t>
  </si>
  <si>
    <t>238</t>
  </si>
  <si>
    <t>미래에셋대우</t>
  </si>
  <si>
    <t>240</t>
  </si>
  <si>
    <t>삼성증권</t>
  </si>
  <si>
    <t>243</t>
  </si>
  <si>
    <t>한국투자증권</t>
  </si>
  <si>
    <t>247</t>
  </si>
  <si>
    <t>NH투자증권</t>
  </si>
  <si>
    <t>261</t>
  </si>
  <si>
    <t>교보증권</t>
  </si>
  <si>
    <t>하이투자증권</t>
  </si>
  <si>
    <t>현대차증권</t>
  </si>
  <si>
    <t>키움증권</t>
  </si>
  <si>
    <t>이베스트투자증권</t>
  </si>
  <si>
    <t>SK증권</t>
  </si>
  <si>
    <t>대신증권</t>
  </si>
  <si>
    <t>한화투자증권</t>
  </si>
  <si>
    <t>하나금융투자</t>
  </si>
  <si>
    <t>신한금융투자</t>
  </si>
  <si>
    <t>DB금융투자</t>
  </si>
  <si>
    <t>유진투자증권</t>
  </si>
  <si>
    <t>메리츠종합금융증권</t>
  </si>
  <si>
    <t>바로투자증권</t>
  </si>
  <si>
    <t>부국증권</t>
  </si>
  <si>
    <t>신영증권</t>
  </si>
  <si>
    <t>케이프투자증권</t>
  </si>
  <si>
    <t>한국증권금융</t>
  </si>
  <si>
    <t>한국포스증권</t>
  </si>
  <si>
    <t>우리종합금융</t>
  </si>
  <si>
    <t>아주캐피탈</t>
  </si>
  <si>
    <t>BC카드</t>
  </si>
  <si>
    <t>광주카드</t>
  </si>
  <si>
    <t>삼성카드</t>
  </si>
  <si>
    <t>신한카드</t>
  </si>
  <si>
    <t>현대카드</t>
  </si>
  <si>
    <t>롯데카드</t>
  </si>
  <si>
    <t>수협카드</t>
  </si>
  <si>
    <t>씨티카드</t>
  </si>
  <si>
    <t>NH카드</t>
  </si>
  <si>
    <t>전북카드</t>
  </si>
  <si>
    <t>제주카드</t>
  </si>
  <si>
    <t>하나SK카드</t>
  </si>
  <si>
    <t>KB국민카드</t>
  </si>
  <si>
    <t>미래에셋생명</t>
  </si>
  <si>
    <t>한화생명</t>
  </si>
  <si>
    <t>교보라이프플래닛생명</t>
  </si>
  <si>
    <t>푸본현대생명</t>
  </si>
  <si>
    <t>라이나생명</t>
  </si>
  <si>
    <t>교보생명</t>
  </si>
  <si>
    <t>에이비엘생명</t>
  </si>
  <si>
    <t>신한생명</t>
  </si>
  <si>
    <t>KB생명보험</t>
  </si>
  <si>
    <t>농협생명</t>
  </si>
  <si>
    <t>삼성화재</t>
  </si>
  <si>
    <t>현대해상</t>
  </si>
  <si>
    <t>DB손해보험</t>
  </si>
  <si>
    <t>KB손해보험</t>
  </si>
  <si>
    <t>롯데손해보험</t>
  </si>
  <si>
    <t>오렌지라이프생명보험</t>
  </si>
  <si>
    <t>악사손해보험</t>
  </si>
  <si>
    <t>메리츠화재</t>
  </si>
  <si>
    <t>농협손해보험</t>
  </si>
  <si>
    <t>푸르덴셜생명보험</t>
  </si>
  <si>
    <t>삼성생명</t>
  </si>
  <si>
    <t>흥국생명</t>
  </si>
  <si>
    <t>한화손해보험</t>
  </si>
  <si>
    <t>AIA생명보험</t>
  </si>
  <si>
    <t>DGB생명보험</t>
  </si>
  <si>
    <t>DB생명보험</t>
  </si>
  <si>
    <t>KDB생명보험</t>
  </si>
  <si>
    <t>999</t>
  </si>
  <si>
    <t>기타(해외은행 등)</t>
  </si>
  <si>
    <t>(예시)</t>
    <phoneticPr fontId="3" type="noConversion"/>
  </si>
  <si>
    <t>인천OO초등학교</t>
    <phoneticPr fontId="3" type="noConversion"/>
  </si>
  <si>
    <t>외환은행</t>
    <phoneticPr fontId="3" type="noConversion"/>
  </si>
  <si>
    <t>조리실무사 원근로자 OOO의 병가 대체(2026.6.9.)</t>
    <phoneticPr fontId="3" type="noConversion"/>
  </si>
  <si>
    <t>조리실무사 원근로자 OOO의 연가 대체(2026.6.10.~6.12)</t>
    <phoneticPr fontId="3" type="noConversion"/>
  </si>
  <si>
    <t xml:space="preserve">사서 원근로자 OOO의 병가 대체(2026.6.11) </t>
    <phoneticPr fontId="3" type="noConversion"/>
  </si>
  <si>
    <r>
      <t xml:space="preserve">2026. 9월 3차- </t>
    </r>
    <r>
      <rPr>
        <b/>
        <sz val="24"/>
        <color theme="1"/>
        <rFont val="맑은 고딕"/>
        <family val="3"/>
        <charset val="129"/>
        <scheme val="minor"/>
      </rPr>
      <t>1개월 미만 기간제근로자(대체근로자)-인건비 신청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</si>
</sst>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#,##0_);[Red]\(#,##0\)"/>
    <numFmt numFmtId="178" formatCode="_-* #,##0.00_-;\-* #,##0.00_-;_-* &quot;-&quot;_-;_-@_-"/>
    <numFmt numFmtId="179" formatCode="#,##0.0_);[Red]\(#,##0.0\)"/>
  </numFmts>
  <fonts count="4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3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4"/>
      <color theme="0" tint="-0.34998626667073579"/>
      <name val="맑은 고딕"/>
      <family val="3"/>
      <charset val="129"/>
    </font>
    <font>
      <b/>
      <sz val="11"/>
      <color rgb="FFC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b/>
      <u/>
      <sz val="11"/>
      <color theme="8" tint="-0.249977111117893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u/>
      <sz val="11"/>
      <color theme="5"/>
      <name val="맑은 고딕"/>
      <family val="3"/>
      <charset val="129"/>
      <scheme val="minor"/>
    </font>
    <font>
      <b/>
      <sz val="11"/>
      <color rgb="FF3706C0"/>
      <name val="맑은 고딕"/>
      <family val="3"/>
      <charset val="129"/>
      <scheme val="minor"/>
    </font>
    <font>
      <b/>
      <sz val="10"/>
      <color rgb="FF3706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rgb="FF3706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0"/>
      <name val="Arial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  <font>
      <sz val="8"/>
      <name val="돋움"/>
      <family val="3"/>
      <charset val="129"/>
    </font>
    <font>
      <b/>
      <sz val="8"/>
      <name val="Arial"/>
      <family val="2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4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 tint="-0.2499465926084170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4" tint="-0.24994659260841701"/>
      </right>
      <top style="thin">
        <color indexed="64"/>
      </top>
      <bottom/>
      <diagonal/>
    </border>
    <border>
      <left style="thin">
        <color indexed="64"/>
      </left>
      <right style="medium">
        <color theme="4" tint="-0.24994659260841701"/>
      </right>
      <top/>
      <bottom style="thin">
        <color indexed="64"/>
      </bottom>
      <diagonal/>
    </border>
    <border>
      <left style="medium">
        <color theme="4" tint="-0.24994659260841701"/>
      </left>
      <right style="thin">
        <color indexed="64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indexed="64"/>
      </right>
      <top style="thin">
        <color indexed="64"/>
      </top>
      <bottom/>
      <diagonal/>
    </border>
    <border>
      <left style="medium">
        <color theme="4" tint="-0.2499465926084170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</cellStyleXfs>
  <cellXfs count="17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176" fontId="0" fillId="0" borderId="7" xfId="1" applyNumberFormat="1" applyFont="1" applyFill="1" applyBorder="1" applyAlignment="1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0" fillId="0" borderId="0" xfId="0" applyFont="1" applyProtection="1">
      <alignment vertical="center"/>
      <protection locked="0"/>
    </xf>
    <xf numFmtId="0" fontId="8" fillId="5" borderId="0" xfId="0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Border="1" applyAlignment="1" applyProtection="1">
      <alignment horizontal="center" vertical="center"/>
      <protection locked="0"/>
    </xf>
    <xf numFmtId="0" fontId="8" fillId="7" borderId="0" xfId="0" applyFont="1" applyFill="1" applyBorder="1" applyAlignment="1" applyProtection="1">
      <alignment horizontal="center" vertical="center"/>
      <protection locked="0"/>
    </xf>
    <xf numFmtId="0" fontId="8" fillId="8" borderId="0" xfId="0" applyFont="1" applyFill="1" applyBorder="1" applyAlignment="1" applyProtection="1">
      <alignment horizontal="center" vertical="center"/>
      <protection locked="0"/>
    </xf>
    <xf numFmtId="0" fontId="8" fillId="9" borderId="0" xfId="0" applyFont="1" applyFill="1" applyBorder="1" applyAlignment="1" applyProtection="1">
      <alignment horizontal="center" vertical="center"/>
      <protection locked="0"/>
    </xf>
    <xf numFmtId="0" fontId="8" fillId="10" borderId="0" xfId="0" applyFont="1" applyFill="1" applyBorder="1" applyAlignment="1" applyProtection="1">
      <alignment horizontal="center" vertical="center"/>
      <protection locked="0"/>
    </xf>
    <xf numFmtId="0" fontId="9" fillId="11" borderId="0" xfId="0" applyFont="1" applyFill="1">
      <alignment vertical="center"/>
    </xf>
    <xf numFmtId="0" fontId="1" fillId="11" borderId="0" xfId="0" applyFont="1" applyFill="1">
      <alignment vertical="center"/>
    </xf>
    <xf numFmtId="0" fontId="1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41" fontId="15" fillId="13" borderId="9" xfId="1" applyNumberFormat="1" applyFont="1" applyFill="1" applyBorder="1" applyAlignment="1">
      <alignment horizontal="left" vertical="center" shrinkToFit="1"/>
    </xf>
    <xf numFmtId="41" fontId="15" fillId="13" borderId="10" xfId="1" applyNumberFormat="1" applyFont="1" applyFill="1" applyBorder="1" applyAlignment="1">
      <alignment horizontal="left" vertical="center" shrinkToFit="1"/>
    </xf>
    <xf numFmtId="0" fontId="16" fillId="0" borderId="0" xfId="0" applyFont="1" applyProtection="1">
      <alignment vertical="center"/>
      <protection locked="0"/>
    </xf>
    <xf numFmtId="0" fontId="11" fillId="0" borderId="0" xfId="0" applyFont="1">
      <alignment vertical="center"/>
    </xf>
    <xf numFmtId="176" fontId="0" fillId="0" borderId="6" xfId="1" applyNumberFormat="1" applyFont="1" applyFill="1" applyBorder="1" applyAlignment="1" applyProtection="1">
      <alignment vertical="center"/>
      <protection locked="0"/>
    </xf>
    <xf numFmtId="0" fontId="17" fillId="12" borderId="15" xfId="0" applyFont="1" applyFill="1" applyBorder="1" applyAlignment="1" applyProtection="1">
      <alignment horizontal="center" vertical="center"/>
      <protection locked="0"/>
    </xf>
    <xf numFmtId="0" fontId="5" fillId="12" borderId="15" xfId="0" applyFont="1" applyFill="1" applyBorder="1" applyAlignment="1" applyProtection="1">
      <alignment horizontal="center" vertical="center"/>
      <protection locked="0"/>
    </xf>
    <xf numFmtId="0" fontId="5" fillId="12" borderId="16" xfId="0" applyFont="1" applyFill="1" applyBorder="1" applyAlignment="1" applyProtection="1">
      <alignment vertical="center"/>
      <protection locked="0"/>
    </xf>
    <xf numFmtId="176" fontId="0" fillId="0" borderId="5" xfId="1" applyNumberFormat="1" applyFont="1" applyFill="1" applyBorder="1" applyAlignment="1" applyProtection="1">
      <alignment vertical="center"/>
      <protection locked="0"/>
    </xf>
    <xf numFmtId="176" fontId="0" fillId="0" borderId="25" xfId="1" applyNumberFormat="1" applyFont="1" applyFill="1" applyBorder="1" applyAlignment="1" applyProtection="1">
      <alignment vertical="center"/>
      <protection locked="0"/>
    </xf>
    <xf numFmtId="176" fontId="0" fillId="0" borderId="20" xfId="1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right"/>
      <protection locked="0"/>
    </xf>
    <xf numFmtId="41" fontId="5" fillId="0" borderId="0" xfId="1" applyFont="1" applyBorder="1" applyAlignment="1" applyProtection="1">
      <alignment vertical="center"/>
      <protection locked="0"/>
    </xf>
    <xf numFmtId="176" fontId="0" fillId="4" borderId="24" xfId="1" applyNumberFormat="1" applyFont="1" applyFill="1" applyBorder="1" applyAlignment="1" applyProtection="1">
      <alignment vertical="center"/>
    </xf>
    <xf numFmtId="176" fontId="5" fillId="4" borderId="27" xfId="1" applyNumberFormat="1" applyFont="1" applyFill="1" applyBorder="1" applyAlignment="1" applyProtection="1">
      <alignment vertical="center"/>
    </xf>
    <xf numFmtId="176" fontId="5" fillId="15" borderId="12" xfId="1" applyNumberFormat="1" applyFont="1" applyFill="1" applyBorder="1" applyAlignment="1" applyProtection="1">
      <alignment vertical="center"/>
    </xf>
    <xf numFmtId="0" fontId="31" fillId="0" borderId="7" xfId="0" applyFont="1" applyBorder="1" applyAlignment="1" applyProtection="1">
      <alignment horizontal="center" vertical="center"/>
      <protection locked="0"/>
    </xf>
    <xf numFmtId="0" fontId="31" fillId="0" borderId="7" xfId="0" applyFont="1" applyBorder="1" applyAlignment="1" applyProtection="1">
      <alignment horizontal="center" vertical="center" wrapText="1" shrinkToFit="1"/>
      <protection locked="0"/>
    </xf>
    <xf numFmtId="0" fontId="31" fillId="0" borderId="7" xfId="0" applyFont="1" applyBorder="1" applyAlignment="1" applyProtection="1">
      <alignment horizontal="center" vertical="center" shrinkToFit="1"/>
      <protection locked="0"/>
    </xf>
    <xf numFmtId="0" fontId="31" fillId="5" borderId="7" xfId="0" applyFont="1" applyFill="1" applyBorder="1" applyAlignment="1" applyProtection="1">
      <alignment horizontal="center" vertical="center"/>
      <protection locked="0"/>
    </xf>
    <xf numFmtId="0" fontId="31" fillId="5" borderId="7" xfId="0" applyFont="1" applyFill="1" applyBorder="1" applyAlignment="1" applyProtection="1">
      <alignment horizontal="center" vertical="center" wrapText="1"/>
      <protection locked="0"/>
    </xf>
    <xf numFmtId="0" fontId="31" fillId="0" borderId="5" xfId="0" applyFont="1" applyBorder="1" applyAlignment="1" applyProtection="1">
      <alignment horizontal="center" vertical="center"/>
      <protection locked="0"/>
    </xf>
    <xf numFmtId="177" fontId="31" fillId="0" borderId="7" xfId="0" applyNumberFormat="1" applyFont="1" applyBorder="1" applyAlignment="1" applyProtection="1">
      <alignment horizontal="center" vertical="center"/>
      <protection locked="0"/>
    </xf>
    <xf numFmtId="178" fontId="14" fillId="6" borderId="7" xfId="1" applyNumberFormat="1" applyFont="1" applyFill="1" applyBorder="1" applyAlignment="1" applyProtection="1">
      <alignment horizontal="center" vertical="center"/>
    </xf>
    <xf numFmtId="177" fontId="31" fillId="0" borderId="7" xfId="0" applyNumberFormat="1" applyFont="1" applyFill="1" applyBorder="1" applyAlignment="1" applyProtection="1">
      <alignment horizontal="center" vertical="center"/>
      <protection locked="0"/>
    </xf>
    <xf numFmtId="177" fontId="31" fillId="0" borderId="7" xfId="1" applyNumberFormat="1" applyFont="1" applyFill="1" applyBorder="1" applyAlignment="1" applyProtection="1">
      <alignment horizontal="center" vertical="center"/>
      <protection locked="0"/>
    </xf>
    <xf numFmtId="176" fontId="14" fillId="12" borderId="7" xfId="1" applyNumberFormat="1" applyFont="1" applyFill="1" applyBorder="1" applyAlignment="1" applyProtection="1">
      <alignment vertical="center"/>
    </xf>
    <xf numFmtId="176" fontId="14" fillId="14" borderId="21" xfId="1" applyNumberFormat="1" applyFont="1" applyFill="1" applyBorder="1" applyAlignment="1" applyProtection="1">
      <alignment vertical="center"/>
    </xf>
    <xf numFmtId="176" fontId="31" fillId="0" borderId="20" xfId="1" applyNumberFormat="1" applyFont="1" applyFill="1" applyBorder="1" applyAlignment="1" applyProtection="1">
      <alignment horizontal="center" vertical="center"/>
      <protection locked="0"/>
    </xf>
    <xf numFmtId="176" fontId="31" fillId="0" borderId="6" xfId="1" applyNumberFormat="1" applyFont="1" applyFill="1" applyBorder="1" applyAlignment="1" applyProtection="1">
      <alignment vertical="center"/>
      <protection locked="0"/>
    </xf>
    <xf numFmtId="176" fontId="31" fillId="0" borderId="7" xfId="1" applyNumberFormat="1" applyFont="1" applyFill="1" applyBorder="1" applyAlignment="1" applyProtection="1">
      <alignment vertical="center"/>
      <protection locked="0"/>
    </xf>
    <xf numFmtId="176" fontId="31" fillId="0" borderId="5" xfId="1" applyNumberFormat="1" applyFont="1" applyFill="1" applyBorder="1" applyAlignment="1" applyProtection="1">
      <alignment vertical="center"/>
      <protection locked="0"/>
    </xf>
    <xf numFmtId="176" fontId="31" fillId="4" borderId="24" xfId="1" applyNumberFormat="1" applyFont="1" applyFill="1" applyBorder="1" applyAlignment="1" applyProtection="1">
      <alignment vertical="center"/>
    </xf>
    <xf numFmtId="176" fontId="31" fillId="0" borderId="25" xfId="1" applyNumberFormat="1" applyFont="1" applyFill="1" applyBorder="1" applyAlignment="1" applyProtection="1">
      <alignment vertical="center" wrapText="1"/>
      <protection locked="0"/>
    </xf>
    <xf numFmtId="176" fontId="14" fillId="4" borderId="27" xfId="1" applyNumberFormat="1" applyFont="1" applyFill="1" applyBorder="1" applyAlignment="1" applyProtection="1">
      <alignment vertical="center"/>
    </xf>
    <xf numFmtId="176" fontId="14" fillId="15" borderId="12" xfId="1" applyNumberFormat="1" applyFont="1" applyFill="1" applyBorder="1" applyAlignment="1" applyProtection="1">
      <alignment vertical="center"/>
    </xf>
    <xf numFmtId="0" fontId="31" fillId="0" borderId="0" xfId="0" applyFont="1" applyFill="1" applyProtection="1">
      <alignment vertical="center"/>
      <protection locked="0"/>
    </xf>
    <xf numFmtId="0" fontId="31" fillId="0" borderId="7" xfId="0" applyFont="1" applyFill="1" applyBorder="1" applyAlignment="1" applyProtection="1">
      <alignment horizontal="center" vertical="center"/>
      <protection locked="0"/>
    </xf>
    <xf numFmtId="0" fontId="31" fillId="0" borderId="5" xfId="0" applyFont="1" applyFill="1" applyBorder="1" applyAlignment="1" applyProtection="1">
      <alignment horizontal="center" vertical="center"/>
      <protection locked="0"/>
    </xf>
    <xf numFmtId="179" fontId="31" fillId="0" borderId="7" xfId="0" applyNumberFormat="1" applyFont="1" applyFill="1" applyBorder="1" applyAlignment="1" applyProtection="1">
      <alignment horizontal="center" vertical="center"/>
      <protection locked="0"/>
    </xf>
    <xf numFmtId="179" fontId="31" fillId="0" borderId="5" xfId="0" applyNumberFormat="1" applyFont="1" applyBorder="1" applyAlignment="1" applyProtection="1">
      <alignment horizontal="center" vertical="center"/>
      <protection locked="0"/>
    </xf>
    <xf numFmtId="179" fontId="31" fillId="0" borderId="5" xfId="0" applyNumberFormat="1" applyFont="1" applyFill="1" applyBorder="1" applyAlignment="1" applyProtection="1">
      <alignment horizontal="center" vertical="center"/>
      <protection locked="0"/>
    </xf>
    <xf numFmtId="0" fontId="29" fillId="12" borderId="21" xfId="0" applyFont="1" applyFill="1" applyBorder="1" applyAlignment="1" applyProtection="1">
      <alignment horizontal="center" vertical="center"/>
      <protection locked="0"/>
    </xf>
    <xf numFmtId="0" fontId="32" fillId="12" borderId="20" xfId="0" applyFont="1" applyFill="1" applyBorder="1" applyAlignment="1" applyProtection="1">
      <alignment horizontal="center" vertical="center" wrapText="1"/>
      <protection locked="0"/>
    </xf>
    <xf numFmtId="176" fontId="31" fillId="0" borderId="25" xfId="1" applyNumberFormat="1" applyFont="1" applyFill="1" applyBorder="1" applyAlignment="1" applyProtection="1">
      <alignment vertical="center"/>
      <protection locked="0"/>
    </xf>
    <xf numFmtId="0" fontId="5" fillId="9" borderId="11" xfId="0" applyFont="1" applyFill="1" applyBorder="1" applyAlignment="1" applyProtection="1">
      <alignment horizontal="center" vertical="center" wrapText="1"/>
      <protection locked="0"/>
    </xf>
    <xf numFmtId="0" fontId="17" fillId="12" borderId="15" xfId="0" applyFont="1" applyFill="1" applyBorder="1" applyAlignment="1" applyProtection="1">
      <alignment horizontal="right" vertical="center"/>
      <protection locked="0"/>
    </xf>
    <xf numFmtId="177" fontId="31" fillId="6" borderId="27" xfId="1" applyNumberFormat="1" applyFont="1" applyFill="1" applyBorder="1" applyAlignment="1" applyProtection="1">
      <alignment vertical="center"/>
    </xf>
    <xf numFmtId="0" fontId="17" fillId="12" borderId="23" xfId="0" applyFont="1" applyFill="1" applyBorder="1" applyAlignment="1" applyProtection="1">
      <alignment horizontal="center" vertical="center"/>
      <protection locked="0"/>
    </xf>
    <xf numFmtId="177" fontId="31" fillId="0" borderId="20" xfId="1" applyNumberFormat="1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177" fontId="31" fillId="9" borderId="12" xfId="1" applyNumberFormat="1" applyFont="1" applyFill="1" applyBorder="1" applyAlignment="1" applyProtection="1">
      <alignment vertical="center"/>
      <protection locked="0"/>
    </xf>
    <xf numFmtId="177" fontId="0" fillId="9" borderId="12" xfId="1" applyNumberFormat="1" applyFont="1" applyFill="1" applyBorder="1" applyAlignment="1" applyProtection="1">
      <alignment vertical="center"/>
      <protection locked="0"/>
    </xf>
    <xf numFmtId="41" fontId="5" fillId="0" borderId="0" xfId="1" applyFont="1" applyBorder="1" applyAlignment="1" applyProtection="1">
      <alignment vertical="center"/>
    </xf>
    <xf numFmtId="41" fontId="31" fillId="16" borderId="20" xfId="1" applyFont="1" applyFill="1" applyBorder="1" applyAlignment="1" applyProtection="1">
      <alignment horizontal="center" vertical="center"/>
    </xf>
    <xf numFmtId="177" fontId="31" fillId="16" borderId="7" xfId="0" applyNumberFormat="1" applyFont="1" applyFill="1" applyBorder="1" applyAlignment="1" applyProtection="1">
      <alignment horizontal="center" vertical="center"/>
    </xf>
    <xf numFmtId="0" fontId="34" fillId="0" borderId="7" xfId="0" applyFont="1" applyBorder="1" applyAlignment="1" applyProtection="1">
      <alignment horizontal="center" vertical="center"/>
      <protection locked="0"/>
    </xf>
    <xf numFmtId="0" fontId="34" fillId="0" borderId="7" xfId="0" applyFont="1" applyFill="1" applyBorder="1" applyAlignment="1" applyProtection="1">
      <alignment horizontal="center" vertical="center"/>
      <protection locked="0"/>
    </xf>
    <xf numFmtId="0" fontId="34" fillId="0" borderId="7" xfId="0" applyFont="1" applyFill="1" applyBorder="1" applyAlignment="1" applyProtection="1">
      <alignment horizontal="center" vertical="center" wrapText="1" shrinkToFit="1"/>
      <protection locked="0"/>
    </xf>
    <xf numFmtId="0" fontId="34" fillId="0" borderId="7" xfId="0" applyFont="1" applyFill="1" applyBorder="1" applyAlignment="1" applyProtection="1">
      <alignment horizontal="center" vertical="center" shrinkToFit="1"/>
      <protection locked="0"/>
    </xf>
    <xf numFmtId="0" fontId="34" fillId="5" borderId="7" xfId="0" applyFont="1" applyFill="1" applyBorder="1" applyAlignment="1" applyProtection="1">
      <alignment horizontal="center" vertical="center"/>
      <protection locked="0"/>
    </xf>
    <xf numFmtId="0" fontId="34" fillId="0" borderId="5" xfId="0" applyFont="1" applyFill="1" applyBorder="1" applyAlignment="1" applyProtection="1">
      <alignment horizontal="center" vertical="center"/>
      <protection locked="0"/>
    </xf>
    <xf numFmtId="0" fontId="35" fillId="12" borderId="20" xfId="0" applyFont="1" applyFill="1" applyBorder="1" applyAlignment="1" applyProtection="1">
      <alignment horizontal="center" vertical="center" wrapText="1"/>
      <protection locked="0"/>
    </xf>
    <xf numFmtId="0" fontId="36" fillId="12" borderId="21" xfId="0" applyFont="1" applyFill="1" applyBorder="1" applyAlignment="1" applyProtection="1">
      <alignment horizontal="center" vertical="center"/>
      <protection locked="0"/>
    </xf>
    <xf numFmtId="41" fontId="34" fillId="16" borderId="20" xfId="1" applyFont="1" applyFill="1" applyBorder="1" applyAlignment="1" applyProtection="1">
      <alignment horizontal="center" vertical="center"/>
    </xf>
    <xf numFmtId="177" fontId="34" fillId="16" borderId="7" xfId="0" applyNumberFormat="1" applyFont="1" applyFill="1" applyBorder="1" applyAlignment="1" applyProtection="1">
      <alignment horizontal="center" vertical="center"/>
    </xf>
    <xf numFmtId="177" fontId="34" fillId="0" borderId="7" xfId="0" applyNumberFormat="1" applyFont="1" applyFill="1" applyBorder="1" applyAlignment="1" applyProtection="1">
      <alignment horizontal="center" vertical="center"/>
      <protection locked="0"/>
    </xf>
    <xf numFmtId="178" fontId="37" fillId="6" borderId="7" xfId="1" applyNumberFormat="1" applyFont="1" applyFill="1" applyBorder="1" applyAlignment="1" applyProtection="1">
      <alignment horizontal="center" vertical="center"/>
    </xf>
    <xf numFmtId="179" fontId="34" fillId="0" borderId="7" xfId="0" applyNumberFormat="1" applyFont="1" applyFill="1" applyBorder="1" applyAlignment="1" applyProtection="1">
      <alignment horizontal="center" vertical="center"/>
      <protection locked="0"/>
    </xf>
    <xf numFmtId="179" fontId="34" fillId="0" borderId="5" xfId="0" applyNumberFormat="1" applyFont="1" applyFill="1" applyBorder="1" applyAlignment="1" applyProtection="1">
      <alignment horizontal="center" vertical="center"/>
      <protection locked="0"/>
    </xf>
    <xf numFmtId="177" fontId="34" fillId="6" borderId="27" xfId="1" applyNumberFormat="1" applyFont="1" applyFill="1" applyBorder="1" applyAlignment="1" applyProtection="1">
      <alignment vertical="center"/>
    </xf>
    <xf numFmtId="177" fontId="34" fillId="9" borderId="12" xfId="1" applyNumberFormat="1" applyFont="1" applyFill="1" applyBorder="1" applyAlignment="1" applyProtection="1">
      <alignment vertical="center"/>
      <protection locked="0"/>
    </xf>
    <xf numFmtId="177" fontId="34" fillId="0" borderId="20" xfId="1" applyNumberFormat="1" applyFont="1" applyFill="1" applyBorder="1" applyAlignment="1" applyProtection="1">
      <alignment horizontal="center" vertical="center"/>
      <protection locked="0"/>
    </xf>
    <xf numFmtId="177" fontId="34" fillId="0" borderId="7" xfId="1" applyNumberFormat="1" applyFont="1" applyFill="1" applyBorder="1" applyAlignment="1" applyProtection="1">
      <alignment horizontal="center" vertical="center"/>
      <protection locked="0"/>
    </xf>
    <xf numFmtId="176" fontId="37" fillId="12" borderId="7" xfId="1" applyNumberFormat="1" applyFont="1" applyFill="1" applyBorder="1" applyAlignment="1" applyProtection="1">
      <alignment vertical="center"/>
    </xf>
    <xf numFmtId="176" fontId="37" fillId="14" borderId="21" xfId="1" applyNumberFormat="1" applyFont="1" applyFill="1" applyBorder="1" applyAlignment="1" applyProtection="1">
      <alignment vertical="center"/>
    </xf>
    <xf numFmtId="0" fontId="0" fillId="0" borderId="1" xfId="0" applyFont="1" applyFill="1" applyBorder="1" applyAlignment="1" applyProtection="1">
      <alignment vertical="center"/>
      <protection locked="0"/>
    </xf>
    <xf numFmtId="0" fontId="0" fillId="5" borderId="1" xfId="0" applyFont="1" applyFill="1" applyBorder="1" applyAlignment="1" applyProtection="1">
      <alignment vertical="center"/>
      <protection locked="0"/>
    </xf>
    <xf numFmtId="0" fontId="38" fillId="5" borderId="1" xfId="0" applyFont="1" applyFill="1" applyBorder="1" applyProtection="1">
      <alignment vertical="center"/>
      <protection locked="0"/>
    </xf>
    <xf numFmtId="49" fontId="0" fillId="0" borderId="0" xfId="0" applyNumberFormat="1">
      <alignment vertical="center"/>
    </xf>
    <xf numFmtId="0" fontId="44" fillId="18" borderId="7" xfId="0" applyFont="1" applyFill="1" applyBorder="1" applyAlignment="1">
      <alignment horizontal="center" vertical="center"/>
    </xf>
    <xf numFmtId="0" fontId="45" fillId="0" borderId="45" xfId="0" applyFont="1" applyBorder="1" applyAlignment="1" applyProtection="1">
      <alignment horizontal="center" vertical="center"/>
      <protection locked="0"/>
    </xf>
    <xf numFmtId="3" fontId="45" fillId="0" borderId="0" xfId="0" applyNumberFormat="1" applyFont="1" applyProtection="1">
      <alignment vertical="center"/>
      <protection locked="0"/>
    </xf>
    <xf numFmtId="49" fontId="45" fillId="0" borderId="46" xfId="0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hidden="1"/>
    </xf>
    <xf numFmtId="49" fontId="45" fillId="5" borderId="46" xfId="0" applyNumberFormat="1" applyFont="1" applyFill="1" applyBorder="1" applyProtection="1">
      <alignment vertical="center"/>
      <protection locked="0"/>
    </xf>
    <xf numFmtId="0" fontId="45" fillId="0" borderId="42" xfId="0" applyFont="1" applyBorder="1" applyAlignment="1" applyProtection="1">
      <alignment horizontal="center" vertical="center"/>
      <protection locked="0"/>
    </xf>
    <xf numFmtId="3" fontId="45" fillId="0" borderId="1" xfId="0" applyNumberFormat="1" applyFont="1" applyBorder="1" applyProtection="1">
      <alignment vertical="center"/>
      <protection locked="0"/>
    </xf>
    <xf numFmtId="49" fontId="45" fillId="0" borderId="47" xfId="0" applyNumberFormat="1" applyFont="1" applyBorder="1" applyProtection="1">
      <alignment vertical="center"/>
      <protection locked="0"/>
    </xf>
    <xf numFmtId="3" fontId="0" fillId="0" borderId="0" xfId="0" applyNumberFormat="1" applyProtection="1">
      <alignment vertical="center"/>
      <protection locked="0"/>
    </xf>
    <xf numFmtId="0" fontId="34" fillId="0" borderId="7" xfId="0" applyFont="1" applyBorder="1" applyAlignment="1" applyProtection="1">
      <alignment horizontal="center" vertical="center" wrapText="1" shrinkToFit="1"/>
      <protection locked="0"/>
    </xf>
    <xf numFmtId="0" fontId="1" fillId="5" borderId="7" xfId="3" applyFont="1" applyFill="1" applyBorder="1" applyAlignment="1" applyProtection="1">
      <alignment horizontal="center" vertical="center" wrapText="1"/>
      <protection locked="0"/>
    </xf>
    <xf numFmtId="49" fontId="1" fillId="5" borderId="7" xfId="3" applyNumberFormat="1" applyFont="1" applyFill="1" applyBorder="1" applyAlignment="1" applyProtection="1">
      <alignment horizontal="center" vertical="center"/>
      <protection locked="0"/>
    </xf>
    <xf numFmtId="0" fontId="34" fillId="5" borderId="7" xfId="0" applyFont="1" applyFill="1" applyBorder="1" applyAlignment="1" applyProtection="1">
      <alignment horizontal="center" vertical="center" wrapText="1"/>
      <protection locked="0"/>
    </xf>
    <xf numFmtId="0" fontId="20" fillId="2" borderId="32" xfId="0" applyFont="1" applyFill="1" applyBorder="1" applyAlignment="1" applyProtection="1">
      <alignment horizontal="center" vertical="center" wrapText="1"/>
      <protection locked="0"/>
    </xf>
    <xf numFmtId="0" fontId="20" fillId="2" borderId="18" xfId="0" applyFont="1" applyFill="1" applyBorder="1" applyAlignment="1" applyProtection="1">
      <alignment horizontal="center" vertical="center" wrapText="1"/>
      <protection locked="0"/>
    </xf>
    <xf numFmtId="0" fontId="5" fillId="2" borderId="33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33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42" xfId="0" applyFont="1" applyFill="1" applyBorder="1" applyAlignment="1" applyProtection="1">
      <alignment horizontal="center" vertical="center" wrapText="1"/>
      <protection locked="0"/>
    </xf>
    <xf numFmtId="0" fontId="5" fillId="6" borderId="43" xfId="0" applyFont="1" applyFill="1" applyBorder="1" applyAlignment="1" applyProtection="1">
      <alignment horizontal="center" vertical="center" wrapText="1"/>
      <protection locked="0"/>
    </xf>
    <xf numFmtId="0" fontId="5" fillId="6" borderId="44" xfId="0" applyFont="1" applyFill="1" applyBorder="1" applyAlignment="1" applyProtection="1">
      <alignment horizontal="center" vertical="center" wrapText="1"/>
      <protection locked="0"/>
    </xf>
    <xf numFmtId="0" fontId="5" fillId="2" borderId="34" xfId="0" applyFont="1" applyFill="1" applyBorder="1" applyAlignment="1" applyProtection="1">
      <alignment horizontal="center" vertical="center" wrapText="1"/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locked="0"/>
    </xf>
    <xf numFmtId="0" fontId="28" fillId="2" borderId="32" xfId="0" applyFont="1" applyFill="1" applyBorder="1" applyAlignment="1" applyProtection="1">
      <alignment horizontal="center" vertical="center" wrapText="1"/>
      <protection locked="0"/>
    </xf>
    <xf numFmtId="0" fontId="28" fillId="2" borderId="18" xfId="0" applyFont="1" applyFill="1" applyBorder="1" applyAlignment="1" applyProtection="1">
      <alignment horizontal="center" vertical="center" wrapText="1"/>
      <protection locked="0"/>
    </xf>
    <xf numFmtId="0" fontId="29" fillId="2" borderId="34" xfId="0" applyFont="1" applyFill="1" applyBorder="1" applyAlignment="1" applyProtection="1">
      <alignment horizontal="center" vertical="center" wrapText="1"/>
      <protection locked="0"/>
    </xf>
    <xf numFmtId="0" fontId="29" fillId="2" borderId="19" xfId="0" applyFont="1" applyFill="1" applyBorder="1" applyAlignment="1" applyProtection="1">
      <alignment horizontal="center" vertical="center" wrapText="1"/>
      <protection locked="0"/>
    </xf>
    <xf numFmtId="0" fontId="17" fillId="9" borderId="28" xfId="0" applyFont="1" applyFill="1" applyBorder="1" applyAlignment="1" applyProtection="1">
      <alignment horizontal="center" vertical="center" wrapText="1"/>
      <protection locked="0"/>
    </xf>
    <xf numFmtId="0" fontId="17" fillId="9" borderId="31" xfId="0" applyFont="1" applyFill="1" applyBorder="1" applyAlignment="1" applyProtection="1">
      <alignment horizontal="center" vertical="center"/>
      <protection locked="0"/>
    </xf>
    <xf numFmtId="0" fontId="5" fillId="2" borderId="37" xfId="0" applyFont="1" applyFill="1" applyBorder="1" applyAlignment="1" applyProtection="1">
      <alignment horizontal="center" vertical="center" wrapText="1"/>
      <protection locked="0"/>
    </xf>
    <xf numFmtId="0" fontId="5" fillId="2" borderId="38" xfId="0" applyFont="1" applyFill="1" applyBorder="1" applyAlignment="1" applyProtection="1">
      <alignment horizontal="center" vertical="center" wrapText="1"/>
      <protection locked="0"/>
    </xf>
    <xf numFmtId="0" fontId="5" fillId="2" borderId="39" xfId="0" applyFont="1" applyFill="1" applyBorder="1" applyAlignment="1" applyProtection="1">
      <alignment horizontal="center" vertical="center" wrapText="1"/>
      <protection locked="0"/>
    </xf>
    <xf numFmtId="0" fontId="5" fillId="2" borderId="36" xfId="0" applyFont="1" applyFill="1" applyBorder="1" applyAlignment="1" applyProtection="1">
      <alignment horizontal="center" vertical="center" wrapText="1"/>
      <protection locked="0"/>
    </xf>
    <xf numFmtId="41" fontId="5" fillId="12" borderId="33" xfId="0" applyNumberFormat="1" applyFont="1" applyFill="1" applyBorder="1" applyAlignment="1" applyProtection="1">
      <alignment horizontal="center" vertical="center" wrapText="1"/>
      <protection locked="0"/>
    </xf>
    <xf numFmtId="41" fontId="5" fillId="12" borderId="8" xfId="0" applyNumberFormat="1" applyFont="1" applyFill="1" applyBorder="1" applyAlignment="1" applyProtection="1">
      <alignment horizontal="center" vertical="center" wrapText="1"/>
      <protection locked="0"/>
    </xf>
    <xf numFmtId="41" fontId="17" fillId="14" borderId="22" xfId="0" applyNumberFormat="1" applyFont="1" applyFill="1" applyBorder="1" applyAlignment="1" applyProtection="1">
      <alignment horizontal="center" vertical="center" wrapText="1"/>
      <protection locked="0"/>
    </xf>
    <xf numFmtId="41" fontId="17" fillId="14" borderId="30" xfId="0" applyNumberFormat="1" applyFont="1" applyFill="1" applyBorder="1" applyAlignment="1" applyProtection="1">
      <alignment horizontal="center" vertical="center" wrapText="1"/>
      <protection locked="0"/>
    </xf>
    <xf numFmtId="41" fontId="17" fillId="14" borderId="19" xfId="0" applyNumberFormat="1" applyFont="1" applyFill="1" applyBorder="1" applyAlignment="1" applyProtection="1">
      <alignment horizontal="center" vertical="center" wrapText="1"/>
      <protection locked="0"/>
    </xf>
    <xf numFmtId="41" fontId="5" fillId="4" borderId="40" xfId="0" applyNumberFormat="1" applyFont="1" applyFill="1" applyBorder="1" applyAlignment="1" applyProtection="1">
      <alignment horizontal="center" vertical="center" wrapText="1"/>
      <protection locked="0"/>
    </xf>
    <xf numFmtId="41" fontId="5" fillId="4" borderId="41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35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32" xfId="0" applyFont="1" applyFill="1" applyBorder="1" applyAlignment="1" applyProtection="1">
      <alignment horizontal="center" vertical="center" wrapText="1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2" borderId="45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18" fillId="3" borderId="23" xfId="2" applyNumberFormat="1" applyFont="1" applyFill="1" applyBorder="1" applyAlignment="1" applyProtection="1">
      <alignment horizontal="center" vertical="center" wrapText="1"/>
      <protection locked="0"/>
    </xf>
    <xf numFmtId="0" fontId="18" fillId="3" borderId="15" xfId="2" applyNumberFormat="1" applyFont="1" applyFill="1" applyBorder="1" applyAlignment="1" applyProtection="1">
      <alignment horizontal="center" vertical="center" wrapText="1"/>
      <protection locked="0"/>
    </xf>
    <xf numFmtId="0" fontId="18" fillId="3" borderId="26" xfId="2" applyNumberFormat="1" applyFont="1" applyFill="1" applyBorder="1" applyAlignment="1" applyProtection="1">
      <alignment horizontal="center" vertical="center" wrapText="1"/>
      <protection locked="0"/>
    </xf>
    <xf numFmtId="0" fontId="18" fillId="3" borderId="17" xfId="2" applyNumberFormat="1" applyFont="1" applyFill="1" applyBorder="1" applyAlignment="1" applyProtection="1">
      <alignment horizontal="center" vertical="center" wrapText="1"/>
      <protection locked="0"/>
    </xf>
    <xf numFmtId="0" fontId="17" fillId="15" borderId="28" xfId="0" applyFont="1" applyFill="1" applyBorder="1" applyAlignment="1" applyProtection="1">
      <alignment horizontal="center" vertical="center" wrapText="1"/>
      <protection locked="0"/>
    </xf>
    <xf numFmtId="0" fontId="17" fillId="15" borderId="31" xfId="0" applyFont="1" applyFill="1" applyBorder="1" applyAlignment="1" applyProtection="1">
      <alignment horizontal="center" vertical="center" wrapText="1"/>
      <protection locked="0"/>
    </xf>
    <xf numFmtId="0" fontId="17" fillId="15" borderId="11" xfId="0" applyFont="1" applyFill="1" applyBorder="1" applyAlignment="1" applyProtection="1">
      <alignment horizontal="center" vertical="center" wrapText="1"/>
      <protection locked="0"/>
    </xf>
    <xf numFmtId="0" fontId="17" fillId="6" borderId="13" xfId="0" applyFont="1" applyFill="1" applyBorder="1" applyAlignment="1" applyProtection="1">
      <alignment horizontal="center" vertical="center"/>
      <protection locked="0"/>
    </xf>
    <xf numFmtId="0" fontId="17" fillId="6" borderId="14" xfId="0" applyFont="1" applyFill="1" applyBorder="1" applyAlignment="1" applyProtection="1">
      <alignment horizontal="center" vertical="center"/>
      <protection locked="0"/>
    </xf>
    <xf numFmtId="0" fontId="17" fillId="6" borderId="29" xfId="0" applyFont="1" applyFill="1" applyBorder="1" applyAlignment="1" applyProtection="1">
      <alignment horizontal="center" vertical="center"/>
      <protection locked="0"/>
    </xf>
    <xf numFmtId="0" fontId="17" fillId="2" borderId="13" xfId="0" applyFont="1" applyFill="1" applyBorder="1" applyAlignment="1" applyProtection="1">
      <alignment horizontal="center" vertical="center"/>
      <protection locked="0"/>
    </xf>
    <xf numFmtId="0" fontId="17" fillId="2" borderId="29" xfId="0" applyFont="1" applyFill="1" applyBorder="1" applyAlignment="1" applyProtection="1">
      <alignment horizontal="center" vertical="center"/>
      <protection locked="0"/>
    </xf>
    <xf numFmtId="0" fontId="39" fillId="17" borderId="7" xfId="0" applyFont="1" applyFill="1" applyBorder="1" applyAlignment="1" applyProtection="1">
      <alignment horizontal="center" vertical="center"/>
      <protection hidden="1"/>
    </xf>
    <xf numFmtId="0" fontId="43" fillId="17" borderId="7" xfId="0" applyFont="1" applyFill="1" applyBorder="1" applyAlignment="1" applyProtection="1">
      <alignment horizontal="center" vertical="center"/>
      <protection hidden="1"/>
    </xf>
  </cellXfs>
  <cellStyles count="4">
    <cellStyle name="쉼표 [0]" xfId="1" builtinId="6"/>
    <cellStyle name="표준" xfId="0" builtinId="0"/>
    <cellStyle name="표준 2" xfId="3" xr:uid="{00000000-0005-0000-0000-000002000000}"/>
    <cellStyle name="표준_학교배부_연습3" xfId="2" xr:uid="{00000000-0005-0000-0000-000003000000}"/>
  </cellStyles>
  <dxfs count="0"/>
  <tableStyles count="0" defaultTableStyle="TableStyleMedium2" defaultPivotStyle="PivotStyleLight16"/>
  <colors>
    <mruColors>
      <color rgb="FF3706C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&#44553;&#50668;(&#44368;&#50977;&#44277;&#47924;&#51649;&#50896;)/&#9675;&#49436;&#49885;/&#9733;3&#52824;%20&#49436;&#49885;/SaniTOX%20LINK%20b84a8fd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&#44553;&#50668;(&#44368;&#50977;&#44277;&#47924;&#51649;&#50896;)/&#9675;&#49436;&#49885;/&#9733;3&#52824;%20&#49436;&#49885;/SaniTOX%20LINK%20ca278358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&#44553;&#50668;(&#44368;&#50977;&#44277;&#47924;&#51649;&#50896;)/&#9675;&#49436;&#49885;/&#9733;3&#52824;%20&#49436;&#49885;/SaniTOX%20LINK%20a0c0835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e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년 연가보상비"/>
      <sheetName val="연가보상(본서)"/>
      <sheetName val="하반기(지구대)"/>
      <sheetName val="기간2"/>
      <sheetName val="상반기(지구대)"/>
      <sheetName val="본서하반기"/>
      <sheetName val="본서상반기"/>
      <sheetName val="wall"/>
      <sheetName val="코드"/>
      <sheetName val="재무가정"/>
      <sheetName val="TIC"/>
      <sheetName val="INF"/>
      <sheetName val="ANL"/>
      <sheetName val="문서"/>
      <sheetName val="관리(사업별)"/>
      <sheetName val="(5)(상세)퇴직금추가소요액-세외"/>
    </sheetNames>
    <sheetDataSet>
      <sheetData sheetId="0">
        <row r="8">
          <cell r="F8" t="str">
            <v>김부용</v>
          </cell>
        </row>
      </sheetData>
      <sheetData sheetId="1">
        <row r="6">
          <cell r="F6" t="str">
            <v>강준구</v>
          </cell>
        </row>
      </sheetData>
      <sheetData sheetId="2">
        <row r="8">
          <cell r="F8" t="str">
            <v>김부용</v>
          </cell>
          <cell r="T8">
            <v>1</v>
          </cell>
          <cell r="U8">
            <v>1</v>
          </cell>
          <cell r="V8">
            <v>1</v>
          </cell>
          <cell r="W8" t="str">
            <v>(2일)</v>
          </cell>
          <cell r="CC8">
            <v>2</v>
          </cell>
          <cell r="CD8">
            <v>2</v>
          </cell>
          <cell r="CE8">
            <v>2</v>
          </cell>
          <cell r="CF8">
            <v>2</v>
          </cell>
          <cell r="CG8">
            <v>2</v>
          </cell>
          <cell r="CH8">
            <v>2</v>
          </cell>
          <cell r="CI8">
            <v>2</v>
          </cell>
          <cell r="CJ8">
            <v>2</v>
          </cell>
          <cell r="CK8">
            <v>2</v>
          </cell>
          <cell r="CL8">
            <v>2</v>
          </cell>
          <cell r="EH8">
            <v>3</v>
          </cell>
          <cell r="EI8">
            <v>1</v>
          </cell>
          <cell r="EJ8" t="str">
            <v>(1일)</v>
          </cell>
          <cell r="EM8">
            <v>1</v>
          </cell>
          <cell r="EN8">
            <v>1</v>
          </cell>
          <cell r="EO8">
            <v>1</v>
          </cell>
          <cell r="EP8" t="str">
            <v>(2일)</v>
          </cell>
          <cell r="FD8">
            <v>12</v>
          </cell>
          <cell r="FE8">
            <v>10</v>
          </cell>
          <cell r="FF8">
            <v>4</v>
          </cell>
          <cell r="FG8">
            <v>5</v>
          </cell>
          <cell r="FH8">
            <v>4</v>
          </cell>
          <cell r="FI8">
            <v>9</v>
          </cell>
          <cell r="FJ8">
            <v>23</v>
          </cell>
          <cell r="FK8">
            <v>14</v>
          </cell>
          <cell r="FL8">
            <v>16</v>
          </cell>
          <cell r="FM8">
            <v>-2</v>
          </cell>
          <cell r="FN8" t="str">
            <v>0</v>
          </cell>
          <cell r="FO8" t="str">
            <v>0</v>
          </cell>
          <cell r="FP8">
            <v>0</v>
          </cell>
          <cell r="FQ8" t="str">
            <v>21</v>
          </cell>
        </row>
        <row r="9">
          <cell r="F9" t="str">
            <v>박충환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 t="str">
            <v>(4일)</v>
          </cell>
          <cell r="BR9">
            <v>1</v>
          </cell>
          <cell r="BS9">
            <v>1</v>
          </cell>
          <cell r="BT9">
            <v>1</v>
          </cell>
          <cell r="BU9" t="str">
            <v>(3일)</v>
          </cell>
          <cell r="EA9">
            <v>3</v>
          </cell>
          <cell r="EB9">
            <v>3</v>
          </cell>
          <cell r="FD9">
            <v>12</v>
          </cell>
          <cell r="FE9">
            <v>0</v>
          </cell>
          <cell r="FF9">
            <v>2</v>
          </cell>
          <cell r="FG9">
            <v>7</v>
          </cell>
          <cell r="FH9">
            <v>3</v>
          </cell>
          <cell r="FI9">
            <v>10</v>
          </cell>
          <cell r="FJ9">
            <v>23</v>
          </cell>
          <cell r="FK9">
            <v>13</v>
          </cell>
          <cell r="FL9">
            <v>16</v>
          </cell>
          <cell r="FM9">
            <v>-3</v>
          </cell>
          <cell r="FN9" t="str">
            <v>0</v>
          </cell>
          <cell r="FO9" t="str">
            <v>1</v>
          </cell>
          <cell r="FP9">
            <v>1</v>
          </cell>
          <cell r="FQ9" t="str">
            <v>21</v>
          </cell>
        </row>
        <row r="10">
          <cell r="F10" t="str">
            <v>백종기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 t="str">
            <v>(4일)</v>
          </cell>
          <cell r="CP10">
            <v>1</v>
          </cell>
          <cell r="CQ10">
            <v>1</v>
          </cell>
          <cell r="CR10">
            <v>1</v>
          </cell>
          <cell r="CS10" t="str">
            <v>(2일)</v>
          </cell>
          <cell r="EE10">
            <v>3</v>
          </cell>
          <cell r="EF10">
            <v>3</v>
          </cell>
          <cell r="FD10">
            <v>11</v>
          </cell>
          <cell r="FE10">
            <v>0</v>
          </cell>
          <cell r="FF10">
            <v>2</v>
          </cell>
          <cell r="FG10">
            <v>6</v>
          </cell>
          <cell r="FH10">
            <v>3</v>
          </cell>
          <cell r="FI10">
            <v>9</v>
          </cell>
          <cell r="FJ10">
            <v>24</v>
          </cell>
          <cell r="FK10">
            <v>15</v>
          </cell>
          <cell r="FL10">
            <v>16</v>
          </cell>
          <cell r="FM10">
            <v>-1</v>
          </cell>
          <cell r="FN10" t="str">
            <v>0</v>
          </cell>
          <cell r="FO10" t="str">
            <v>1</v>
          </cell>
          <cell r="FP10">
            <v>1</v>
          </cell>
          <cell r="FQ10" t="str">
            <v>21</v>
          </cell>
        </row>
        <row r="11">
          <cell r="F11" t="str">
            <v>양승봉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 t="str">
            <v>(4일)</v>
          </cell>
          <cell r="CL11">
            <v>1</v>
          </cell>
          <cell r="CM11">
            <v>1</v>
          </cell>
          <cell r="CN11">
            <v>1</v>
          </cell>
          <cell r="CO11" t="str">
            <v>(2일)</v>
          </cell>
          <cell r="DY11">
            <v>3</v>
          </cell>
          <cell r="DZ11">
            <v>3</v>
          </cell>
          <cell r="FD11">
            <v>13</v>
          </cell>
          <cell r="FE11">
            <v>0</v>
          </cell>
          <cell r="FF11">
            <v>2</v>
          </cell>
          <cell r="FG11">
            <v>6</v>
          </cell>
          <cell r="FH11">
            <v>4</v>
          </cell>
          <cell r="FI11">
            <v>10</v>
          </cell>
          <cell r="FJ11">
            <v>23</v>
          </cell>
          <cell r="FK11">
            <v>13</v>
          </cell>
          <cell r="FL11">
            <v>16</v>
          </cell>
          <cell r="FM11">
            <v>-3</v>
          </cell>
          <cell r="FN11" t="str">
            <v>0</v>
          </cell>
          <cell r="FO11" t="str">
            <v>1</v>
          </cell>
          <cell r="FP11">
            <v>1</v>
          </cell>
          <cell r="FQ11" t="str">
            <v>21</v>
          </cell>
        </row>
        <row r="12">
          <cell r="F12" t="str">
            <v>장명산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 t="str">
            <v>(4일)</v>
          </cell>
          <cell r="AH12">
            <v>1</v>
          </cell>
          <cell r="AI12" t="str">
            <v>(1일)</v>
          </cell>
          <cell r="CI12">
            <v>1</v>
          </cell>
          <cell r="CJ12">
            <v>1</v>
          </cell>
          <cell r="CK12">
            <v>1</v>
          </cell>
          <cell r="CL12" t="str">
            <v>(3일)</v>
          </cell>
          <cell r="EC12">
            <v>3</v>
          </cell>
          <cell r="ED12">
            <v>3</v>
          </cell>
          <cell r="FD12">
            <v>13</v>
          </cell>
          <cell r="FE12">
            <v>0</v>
          </cell>
          <cell r="FF12">
            <v>2</v>
          </cell>
          <cell r="FG12">
            <v>8</v>
          </cell>
          <cell r="FH12">
            <v>2</v>
          </cell>
          <cell r="FI12">
            <v>10</v>
          </cell>
          <cell r="FJ12">
            <v>25</v>
          </cell>
          <cell r="FK12">
            <v>15</v>
          </cell>
          <cell r="FL12">
            <v>16</v>
          </cell>
          <cell r="FM12">
            <v>-1</v>
          </cell>
          <cell r="FN12" t="str">
            <v>0</v>
          </cell>
          <cell r="FO12" t="str">
            <v>1</v>
          </cell>
          <cell r="FP12">
            <v>1</v>
          </cell>
          <cell r="FQ12" t="str">
            <v>21</v>
          </cell>
        </row>
        <row r="13">
          <cell r="F13" t="str">
            <v>정명진</v>
          </cell>
          <cell r="CT13">
            <v>1</v>
          </cell>
          <cell r="CU13">
            <v>1</v>
          </cell>
          <cell r="CV13">
            <v>1</v>
          </cell>
          <cell r="CW13" t="str">
            <v>(2일)</v>
          </cell>
          <cell r="DS13">
            <v>3</v>
          </cell>
          <cell r="DT13">
            <v>3</v>
          </cell>
          <cell r="FD13">
            <v>13</v>
          </cell>
          <cell r="FE13">
            <v>8</v>
          </cell>
          <cell r="FF13">
            <v>2</v>
          </cell>
          <cell r="FG13">
            <v>2</v>
          </cell>
          <cell r="FH13">
            <v>7</v>
          </cell>
          <cell r="FI13">
            <v>9</v>
          </cell>
          <cell r="FJ13">
            <v>23</v>
          </cell>
          <cell r="FK13">
            <v>14</v>
          </cell>
          <cell r="FL13">
            <v>16</v>
          </cell>
          <cell r="FM13">
            <v>-2</v>
          </cell>
          <cell r="FN13" t="str">
            <v>0</v>
          </cell>
          <cell r="FO13" t="str">
            <v>0</v>
          </cell>
          <cell r="FP13">
            <v>0</v>
          </cell>
          <cell r="FQ13" t="str">
            <v>21</v>
          </cell>
        </row>
        <row r="14">
          <cell r="F14" t="str">
            <v>김정규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 t="str">
            <v>(4일)</v>
          </cell>
          <cell r="CW14">
            <v>1</v>
          </cell>
          <cell r="CX14">
            <v>1</v>
          </cell>
          <cell r="CY14">
            <v>1</v>
          </cell>
          <cell r="CZ14" t="str">
            <v>(2일)</v>
          </cell>
          <cell r="DV14">
            <v>3</v>
          </cell>
          <cell r="DW14">
            <v>3</v>
          </cell>
          <cell r="FD14">
            <v>12</v>
          </cell>
          <cell r="FE14">
            <v>0</v>
          </cell>
          <cell r="FF14">
            <v>2</v>
          </cell>
          <cell r="FG14">
            <v>6</v>
          </cell>
          <cell r="FH14">
            <v>3</v>
          </cell>
          <cell r="FI14">
            <v>9</v>
          </cell>
          <cell r="FJ14">
            <v>25</v>
          </cell>
          <cell r="FK14">
            <v>16</v>
          </cell>
          <cell r="FL14">
            <v>16</v>
          </cell>
          <cell r="FM14">
            <v>0</v>
          </cell>
          <cell r="FN14" t="str">
            <v>0</v>
          </cell>
          <cell r="FO14" t="str">
            <v>1</v>
          </cell>
          <cell r="FP14">
            <v>1</v>
          </cell>
          <cell r="FQ14" t="str">
            <v>21</v>
          </cell>
        </row>
        <row r="15">
          <cell r="F15" t="str">
            <v>김경남</v>
          </cell>
          <cell r="BR15">
            <v>1</v>
          </cell>
          <cell r="BS15">
            <v>1</v>
          </cell>
          <cell r="BT15">
            <v>1</v>
          </cell>
          <cell r="BU15" t="str">
            <v>(3일)</v>
          </cell>
          <cell r="DQ15">
            <v>3</v>
          </cell>
          <cell r="DR15">
            <v>3</v>
          </cell>
          <cell r="FD15">
            <v>12</v>
          </cell>
          <cell r="FE15">
            <v>0</v>
          </cell>
          <cell r="FF15">
            <v>2</v>
          </cell>
          <cell r="FG15">
            <v>3</v>
          </cell>
          <cell r="FH15">
            <v>7</v>
          </cell>
          <cell r="FI15">
            <v>10</v>
          </cell>
          <cell r="FJ15">
            <v>23</v>
          </cell>
          <cell r="FK15">
            <v>13</v>
          </cell>
          <cell r="FL15">
            <v>16</v>
          </cell>
          <cell r="FM15">
            <v>-3</v>
          </cell>
          <cell r="FN15" t="str">
            <v>0</v>
          </cell>
          <cell r="FO15" t="str">
            <v>1</v>
          </cell>
          <cell r="FP15">
            <v>1</v>
          </cell>
          <cell r="FQ15" t="str">
            <v>21</v>
          </cell>
        </row>
        <row r="16">
          <cell r="F16" t="str">
            <v>조욱</v>
          </cell>
          <cell r="CG16">
            <v>1</v>
          </cell>
          <cell r="CH16">
            <v>1</v>
          </cell>
          <cell r="CI16">
            <v>1</v>
          </cell>
          <cell r="CJ16" t="str">
            <v>(2일)</v>
          </cell>
          <cell r="CW16">
            <v>1</v>
          </cell>
          <cell r="CX16">
            <v>1</v>
          </cell>
          <cell r="CY16">
            <v>1</v>
          </cell>
          <cell r="CZ16" t="str">
            <v>(2일)</v>
          </cell>
          <cell r="DY16">
            <v>3</v>
          </cell>
          <cell r="DZ16">
            <v>3</v>
          </cell>
          <cell r="FD16">
            <v>15</v>
          </cell>
          <cell r="FE16">
            <v>0</v>
          </cell>
          <cell r="FF16">
            <v>2</v>
          </cell>
          <cell r="FG16">
            <v>4</v>
          </cell>
          <cell r="FH16">
            <v>7</v>
          </cell>
          <cell r="FI16">
            <v>11</v>
          </cell>
          <cell r="FJ16">
            <v>24</v>
          </cell>
          <cell r="FK16">
            <v>13</v>
          </cell>
          <cell r="FL16">
            <v>16</v>
          </cell>
          <cell r="FM16">
            <v>-3</v>
          </cell>
          <cell r="FN16" t="str">
            <v>0</v>
          </cell>
          <cell r="FO16" t="str">
            <v>1</v>
          </cell>
          <cell r="FP16">
            <v>1</v>
          </cell>
          <cell r="FQ16" t="str">
            <v>21</v>
          </cell>
        </row>
        <row r="17">
          <cell r="F17" t="str">
            <v>김진남</v>
          </cell>
          <cell r="Q17">
            <v>1</v>
          </cell>
          <cell r="R17">
            <v>1</v>
          </cell>
          <cell r="S17" t="str">
            <v>(2일)</v>
          </cell>
          <cell r="CF17">
            <v>1</v>
          </cell>
          <cell r="CG17">
            <v>1</v>
          </cell>
          <cell r="CH17">
            <v>1</v>
          </cell>
          <cell r="CI17" t="str">
            <v>(3일)</v>
          </cell>
          <cell r="DV17">
            <v>3</v>
          </cell>
          <cell r="DW17">
            <v>3</v>
          </cell>
          <cell r="FD17">
            <v>5</v>
          </cell>
          <cell r="FE17">
            <v>0</v>
          </cell>
          <cell r="FF17">
            <v>2</v>
          </cell>
          <cell r="FG17">
            <v>5</v>
          </cell>
          <cell r="FH17">
            <v>0</v>
          </cell>
          <cell r="FI17">
            <v>5</v>
          </cell>
          <cell r="FJ17">
            <v>23</v>
          </cell>
          <cell r="FK17">
            <v>18</v>
          </cell>
          <cell r="FL17">
            <v>16</v>
          </cell>
          <cell r="FM17">
            <v>2</v>
          </cell>
          <cell r="FN17" t="str">
            <v>1</v>
          </cell>
          <cell r="FO17" t="str">
            <v>1</v>
          </cell>
          <cell r="FP17">
            <v>2</v>
          </cell>
          <cell r="FQ17" t="str">
            <v>21</v>
          </cell>
        </row>
        <row r="18">
          <cell r="F18" t="str">
            <v>김성욱</v>
          </cell>
          <cell r="CT18">
            <v>1</v>
          </cell>
          <cell r="CU18">
            <v>1</v>
          </cell>
          <cell r="CV18">
            <v>1</v>
          </cell>
          <cell r="CW18" t="str">
            <v>(2일)</v>
          </cell>
          <cell r="EC18">
            <v>3</v>
          </cell>
          <cell r="ED18">
            <v>3</v>
          </cell>
          <cell r="FD18">
            <v>12</v>
          </cell>
          <cell r="FE18">
            <v>0</v>
          </cell>
          <cell r="FF18">
            <v>9</v>
          </cell>
          <cell r="FG18">
            <v>2</v>
          </cell>
          <cell r="FH18">
            <v>8</v>
          </cell>
          <cell r="FI18">
            <v>10</v>
          </cell>
          <cell r="FJ18">
            <v>16</v>
          </cell>
          <cell r="FK18">
            <v>6</v>
          </cell>
          <cell r="FL18">
            <v>16</v>
          </cell>
          <cell r="FM18">
            <v>-10</v>
          </cell>
          <cell r="FN18" t="str">
            <v>0</v>
          </cell>
          <cell r="FO18" t="str">
            <v>1</v>
          </cell>
          <cell r="FP18">
            <v>1</v>
          </cell>
          <cell r="FQ18">
            <v>17</v>
          </cell>
        </row>
        <row r="19">
          <cell r="F19" t="str">
            <v>윤대헌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 t="str">
            <v>(4일)</v>
          </cell>
          <cell r="EA19">
            <v>3</v>
          </cell>
          <cell r="EB19">
            <v>3</v>
          </cell>
          <cell r="FD19">
            <v>6</v>
          </cell>
          <cell r="FE19">
            <v>0</v>
          </cell>
          <cell r="FF19">
            <v>2</v>
          </cell>
          <cell r="FG19">
            <v>4</v>
          </cell>
          <cell r="FH19">
            <v>1</v>
          </cell>
          <cell r="FI19">
            <v>5</v>
          </cell>
          <cell r="FJ19">
            <v>16</v>
          </cell>
          <cell r="FK19">
            <v>11</v>
          </cell>
          <cell r="FL19">
            <v>16</v>
          </cell>
          <cell r="FM19">
            <v>-5</v>
          </cell>
          <cell r="FN19" t="str">
            <v>0</v>
          </cell>
          <cell r="FO19" t="str">
            <v>1</v>
          </cell>
          <cell r="FP19">
            <v>1</v>
          </cell>
          <cell r="FQ19">
            <v>17</v>
          </cell>
        </row>
        <row r="20">
          <cell r="F20" t="str">
            <v>이광호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 t="str">
            <v>(4일)</v>
          </cell>
          <cell r="CE20">
            <v>1</v>
          </cell>
          <cell r="CF20">
            <v>1</v>
          </cell>
          <cell r="CG20">
            <v>1</v>
          </cell>
          <cell r="CH20" t="str">
            <v>(2일)</v>
          </cell>
          <cell r="EA20">
            <v>3</v>
          </cell>
          <cell r="EB20">
            <v>3</v>
          </cell>
          <cell r="FD20">
            <v>9</v>
          </cell>
          <cell r="FE20">
            <v>0</v>
          </cell>
          <cell r="FF20">
            <v>2</v>
          </cell>
          <cell r="FG20">
            <v>6</v>
          </cell>
          <cell r="FH20">
            <v>1</v>
          </cell>
          <cell r="FI20">
            <v>7</v>
          </cell>
          <cell r="FJ20">
            <v>16</v>
          </cell>
          <cell r="FK20">
            <v>9</v>
          </cell>
          <cell r="FL20">
            <v>16</v>
          </cell>
          <cell r="FM20">
            <v>-7</v>
          </cell>
          <cell r="FN20" t="str">
            <v>0</v>
          </cell>
          <cell r="FO20" t="str">
            <v>1</v>
          </cell>
          <cell r="FP20">
            <v>1</v>
          </cell>
          <cell r="FQ20">
            <v>17</v>
          </cell>
        </row>
        <row r="21">
          <cell r="F21" t="str">
            <v>정전영</v>
          </cell>
          <cell r="AH21">
            <v>2</v>
          </cell>
          <cell r="CT21">
            <v>1</v>
          </cell>
          <cell r="CU21">
            <v>1</v>
          </cell>
          <cell r="CV21">
            <v>1</v>
          </cell>
          <cell r="CW21" t="str">
            <v>(2일)</v>
          </cell>
          <cell r="DO21">
            <v>3</v>
          </cell>
          <cell r="DP21">
            <v>3</v>
          </cell>
          <cell r="FD21">
            <v>12</v>
          </cell>
          <cell r="FE21">
            <v>2</v>
          </cell>
          <cell r="FF21">
            <v>9</v>
          </cell>
          <cell r="FG21">
            <v>2</v>
          </cell>
          <cell r="FH21">
            <v>8</v>
          </cell>
          <cell r="FI21">
            <v>10</v>
          </cell>
          <cell r="FJ21">
            <v>16</v>
          </cell>
          <cell r="FK21">
            <v>6</v>
          </cell>
          <cell r="FL21">
            <v>16</v>
          </cell>
          <cell r="FM21">
            <v>-10</v>
          </cell>
          <cell r="FN21" t="str">
            <v>0</v>
          </cell>
          <cell r="FO21" t="str">
            <v>0</v>
          </cell>
          <cell r="FP21">
            <v>0</v>
          </cell>
          <cell r="FQ21">
            <v>16</v>
          </cell>
        </row>
        <row r="22">
          <cell r="F22" t="str">
            <v>최용수</v>
          </cell>
          <cell r="CP22">
            <v>1</v>
          </cell>
          <cell r="CQ22">
            <v>1</v>
          </cell>
          <cell r="CR22">
            <v>1</v>
          </cell>
          <cell r="CS22" t="str">
            <v>(2일)</v>
          </cell>
          <cell r="EC22">
            <v>3</v>
          </cell>
          <cell r="ED22">
            <v>3</v>
          </cell>
          <cell r="FD22">
            <v>12</v>
          </cell>
          <cell r="FE22">
            <v>1</v>
          </cell>
          <cell r="FF22">
            <v>2</v>
          </cell>
          <cell r="FG22">
            <v>2</v>
          </cell>
          <cell r="FH22">
            <v>6</v>
          </cell>
          <cell r="FI22">
            <v>8</v>
          </cell>
          <cell r="FJ22">
            <v>24</v>
          </cell>
          <cell r="FK22">
            <v>16</v>
          </cell>
          <cell r="FL22">
            <v>16</v>
          </cell>
          <cell r="FM22">
            <v>0</v>
          </cell>
          <cell r="FN22" t="str">
            <v>0</v>
          </cell>
          <cell r="FO22" t="str">
            <v>0</v>
          </cell>
          <cell r="FP22">
            <v>0</v>
          </cell>
          <cell r="FQ22" t="str">
            <v>21</v>
          </cell>
        </row>
        <row r="23">
          <cell r="F23" t="str">
            <v>박병우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 t="str">
            <v>(4일)</v>
          </cell>
          <cell r="CE23">
            <v>1</v>
          </cell>
          <cell r="CF23">
            <v>1</v>
          </cell>
          <cell r="CG23">
            <v>1</v>
          </cell>
          <cell r="CH23" t="str">
            <v>(2일)</v>
          </cell>
          <cell r="DS23">
            <v>3</v>
          </cell>
          <cell r="DT23">
            <v>3</v>
          </cell>
          <cell r="FD23">
            <v>12</v>
          </cell>
          <cell r="FE23">
            <v>0</v>
          </cell>
          <cell r="FF23">
            <v>7</v>
          </cell>
          <cell r="FG23">
            <v>6</v>
          </cell>
          <cell r="FH23">
            <v>2</v>
          </cell>
          <cell r="FI23">
            <v>8</v>
          </cell>
          <cell r="FJ23">
            <v>23</v>
          </cell>
          <cell r="FK23">
            <v>15</v>
          </cell>
          <cell r="FL23">
            <v>16</v>
          </cell>
          <cell r="FM23">
            <v>-1</v>
          </cell>
          <cell r="FN23" t="str">
            <v>0</v>
          </cell>
          <cell r="FO23" t="str">
            <v>1</v>
          </cell>
          <cell r="FP23">
            <v>1</v>
          </cell>
          <cell r="FQ23" t="str">
            <v>21</v>
          </cell>
        </row>
        <row r="24">
          <cell r="F24" t="str">
            <v>강신일</v>
          </cell>
          <cell r="CM24">
            <v>1</v>
          </cell>
          <cell r="CN24">
            <v>1</v>
          </cell>
          <cell r="CO24">
            <v>1</v>
          </cell>
          <cell r="CP24" t="str">
            <v>(3일)</v>
          </cell>
          <cell r="DO24">
            <v>3</v>
          </cell>
          <cell r="DP24">
            <v>3</v>
          </cell>
          <cell r="EO24">
            <v>1</v>
          </cell>
          <cell r="EP24" t="str">
            <v>(1일)</v>
          </cell>
          <cell r="FD24">
            <v>11</v>
          </cell>
          <cell r="FE24">
            <v>4</v>
          </cell>
          <cell r="FF24">
            <v>2</v>
          </cell>
          <cell r="FG24">
            <v>4</v>
          </cell>
          <cell r="FH24">
            <v>6</v>
          </cell>
          <cell r="FI24">
            <v>10</v>
          </cell>
          <cell r="FJ24">
            <v>23</v>
          </cell>
          <cell r="FK24">
            <v>13</v>
          </cell>
          <cell r="FL24">
            <v>16</v>
          </cell>
          <cell r="FM24">
            <v>-3</v>
          </cell>
          <cell r="FN24" t="str">
            <v>0</v>
          </cell>
          <cell r="FO24" t="str">
            <v>0</v>
          </cell>
          <cell r="FP24">
            <v>0</v>
          </cell>
          <cell r="FQ24" t="str">
            <v>21</v>
          </cell>
        </row>
        <row r="25">
          <cell r="F25" t="str">
            <v>박병찬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 t="str">
            <v>(4일)</v>
          </cell>
          <cell r="BU25">
            <v>1</v>
          </cell>
          <cell r="BV25">
            <v>1</v>
          </cell>
          <cell r="BW25">
            <v>1</v>
          </cell>
          <cell r="BX25" t="str">
            <v>(3일)</v>
          </cell>
          <cell r="CL25">
            <v>1</v>
          </cell>
          <cell r="CM25" t="str">
            <v>(1일)</v>
          </cell>
          <cell r="DZ25">
            <v>3</v>
          </cell>
          <cell r="EA25">
            <v>3</v>
          </cell>
          <cell r="EW25">
            <v>1</v>
          </cell>
          <cell r="EX25" t="str">
            <v>(1일)</v>
          </cell>
          <cell r="FD25">
            <v>16</v>
          </cell>
          <cell r="FE25">
            <v>11</v>
          </cell>
          <cell r="FF25">
            <v>2</v>
          </cell>
          <cell r="FG25">
            <v>9</v>
          </cell>
          <cell r="FH25">
            <v>4</v>
          </cell>
          <cell r="FI25">
            <v>13</v>
          </cell>
          <cell r="FJ25">
            <v>23</v>
          </cell>
          <cell r="FK25">
            <v>10</v>
          </cell>
          <cell r="FL25">
            <v>16</v>
          </cell>
          <cell r="FM25">
            <v>-6</v>
          </cell>
          <cell r="FN25" t="str">
            <v>0</v>
          </cell>
          <cell r="FO25" t="str">
            <v>0</v>
          </cell>
          <cell r="FP25">
            <v>0</v>
          </cell>
          <cell r="FQ25" t="str">
            <v>21</v>
          </cell>
        </row>
        <row r="26">
          <cell r="F26" t="str">
            <v>이창길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 t="str">
            <v>(5일)</v>
          </cell>
          <cell r="U26">
            <v>3</v>
          </cell>
          <cell r="BN26">
            <v>1</v>
          </cell>
          <cell r="BO26" t="str">
            <v>(1일)</v>
          </cell>
          <cell r="CM26">
            <v>1</v>
          </cell>
          <cell r="CN26">
            <v>1</v>
          </cell>
          <cell r="CO26">
            <v>1</v>
          </cell>
          <cell r="CP26" t="str">
            <v>(3일)</v>
          </cell>
          <cell r="DO26">
            <v>3</v>
          </cell>
          <cell r="DP26">
            <v>3</v>
          </cell>
          <cell r="FD26">
            <v>16</v>
          </cell>
          <cell r="FE26">
            <v>0</v>
          </cell>
          <cell r="FF26">
            <v>17</v>
          </cell>
          <cell r="FG26">
            <v>9</v>
          </cell>
          <cell r="FH26">
            <v>5</v>
          </cell>
          <cell r="FI26">
            <v>14</v>
          </cell>
          <cell r="FJ26">
            <v>23</v>
          </cell>
          <cell r="FK26">
            <v>9</v>
          </cell>
          <cell r="FL26">
            <v>16</v>
          </cell>
          <cell r="FM26">
            <v>-7</v>
          </cell>
          <cell r="FN26" t="str">
            <v>0</v>
          </cell>
          <cell r="FO26" t="str">
            <v>1</v>
          </cell>
          <cell r="FP26">
            <v>1</v>
          </cell>
          <cell r="FQ26" t="str">
            <v>21</v>
          </cell>
        </row>
        <row r="27">
          <cell r="F27" t="str">
            <v>정재웅</v>
          </cell>
          <cell r="BY27">
            <v>1</v>
          </cell>
          <cell r="BZ27">
            <v>1</v>
          </cell>
          <cell r="CA27">
            <v>1</v>
          </cell>
          <cell r="CB27" t="str">
            <v>(2일)</v>
          </cell>
          <cell r="EG27">
            <v>3</v>
          </cell>
          <cell r="EH27">
            <v>3</v>
          </cell>
          <cell r="FD27">
            <v>12</v>
          </cell>
          <cell r="FE27">
            <v>0</v>
          </cell>
          <cell r="FF27">
            <v>3</v>
          </cell>
          <cell r="FG27">
            <v>2</v>
          </cell>
          <cell r="FH27">
            <v>7</v>
          </cell>
          <cell r="FI27">
            <v>9</v>
          </cell>
          <cell r="FJ27">
            <v>24</v>
          </cell>
          <cell r="FK27">
            <v>15</v>
          </cell>
          <cell r="FL27">
            <v>16</v>
          </cell>
          <cell r="FM27">
            <v>-1</v>
          </cell>
          <cell r="FN27" t="str">
            <v>0</v>
          </cell>
          <cell r="FO27" t="str">
            <v>1</v>
          </cell>
          <cell r="FP27">
            <v>1</v>
          </cell>
          <cell r="FQ27" t="str">
            <v>21</v>
          </cell>
        </row>
        <row r="28">
          <cell r="F28" t="str">
            <v>정진표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 t="str">
            <v>(3일)</v>
          </cell>
          <cell r="CJ28">
            <v>2</v>
          </cell>
          <cell r="DS28">
            <v>3</v>
          </cell>
          <cell r="DT28">
            <v>3</v>
          </cell>
          <cell r="EU28">
            <v>2</v>
          </cell>
          <cell r="FD28">
            <v>7</v>
          </cell>
          <cell r="FE28">
            <v>3</v>
          </cell>
          <cell r="FF28">
            <v>2</v>
          </cell>
          <cell r="FG28">
            <v>3</v>
          </cell>
          <cell r="FH28">
            <v>2</v>
          </cell>
          <cell r="FI28">
            <v>5</v>
          </cell>
          <cell r="FJ28">
            <v>23</v>
          </cell>
          <cell r="FK28">
            <v>18</v>
          </cell>
          <cell r="FL28">
            <v>16</v>
          </cell>
          <cell r="FM28">
            <v>2</v>
          </cell>
          <cell r="FN28" t="str">
            <v>1</v>
          </cell>
          <cell r="FO28" t="str">
            <v>0</v>
          </cell>
          <cell r="FP28">
            <v>1</v>
          </cell>
          <cell r="FQ28" t="str">
            <v>21</v>
          </cell>
        </row>
        <row r="29">
          <cell r="F29" t="str">
            <v>조삼익</v>
          </cell>
          <cell r="CL29">
            <v>1</v>
          </cell>
          <cell r="CM29" t="str">
            <v>(1일)</v>
          </cell>
          <cell r="CS29">
            <v>2</v>
          </cell>
          <cell r="CZ29">
            <v>2</v>
          </cell>
          <cell r="DR29">
            <v>1</v>
          </cell>
          <cell r="DS29">
            <v>1</v>
          </cell>
          <cell r="DT29">
            <v>1</v>
          </cell>
          <cell r="DU29">
            <v>1</v>
          </cell>
          <cell r="DV29">
            <v>1</v>
          </cell>
          <cell r="DW29">
            <v>1</v>
          </cell>
          <cell r="DX29">
            <v>1</v>
          </cell>
          <cell r="DY29" t="str">
            <v>(5일)</v>
          </cell>
          <cell r="DZ29">
            <v>3</v>
          </cell>
          <cell r="EA29">
            <v>3</v>
          </cell>
          <cell r="FD29">
            <v>9</v>
          </cell>
          <cell r="FE29">
            <v>3</v>
          </cell>
          <cell r="FF29">
            <v>2</v>
          </cell>
          <cell r="FG29">
            <v>6</v>
          </cell>
          <cell r="FH29">
            <v>1</v>
          </cell>
          <cell r="FI29">
            <v>7</v>
          </cell>
          <cell r="FJ29">
            <v>24</v>
          </cell>
          <cell r="FK29">
            <v>17</v>
          </cell>
          <cell r="FL29">
            <v>16</v>
          </cell>
          <cell r="FM29">
            <v>1</v>
          </cell>
          <cell r="FN29" t="str">
            <v>1</v>
          </cell>
          <cell r="FO29" t="str">
            <v>0</v>
          </cell>
          <cell r="FP29">
            <v>1</v>
          </cell>
          <cell r="FQ29" t="str">
            <v>21</v>
          </cell>
        </row>
        <row r="30">
          <cell r="F30" t="str">
            <v>최재봉</v>
          </cell>
          <cell r="AS30">
            <v>1</v>
          </cell>
          <cell r="AT30">
            <v>1</v>
          </cell>
          <cell r="AU30" t="str">
            <v>(2일)</v>
          </cell>
          <cell r="AX30">
            <v>2</v>
          </cell>
          <cell r="AY30">
            <v>2</v>
          </cell>
          <cell r="AZ30">
            <v>2</v>
          </cell>
          <cell r="BA30">
            <v>2</v>
          </cell>
          <cell r="BB30">
            <v>2</v>
          </cell>
          <cell r="BC30">
            <v>2</v>
          </cell>
          <cell r="BD30">
            <v>2</v>
          </cell>
          <cell r="BE30">
            <v>2</v>
          </cell>
          <cell r="BF30">
            <v>2</v>
          </cell>
          <cell r="BG30">
            <v>2</v>
          </cell>
          <cell r="BH30">
            <v>2</v>
          </cell>
          <cell r="CD30">
            <v>1</v>
          </cell>
          <cell r="CE30" t="str">
            <v>(1일)</v>
          </cell>
          <cell r="DO30">
            <v>3</v>
          </cell>
          <cell r="DP30">
            <v>3</v>
          </cell>
          <cell r="FD30">
            <v>10</v>
          </cell>
          <cell r="FE30">
            <v>12</v>
          </cell>
          <cell r="FF30">
            <v>2</v>
          </cell>
          <cell r="FG30">
            <v>3</v>
          </cell>
          <cell r="FH30">
            <v>6</v>
          </cell>
          <cell r="FI30">
            <v>9</v>
          </cell>
          <cell r="FJ30">
            <v>23</v>
          </cell>
          <cell r="FK30">
            <v>14</v>
          </cell>
          <cell r="FL30">
            <v>16</v>
          </cell>
          <cell r="FM30">
            <v>-2</v>
          </cell>
          <cell r="FN30" t="str">
            <v>0</v>
          </cell>
          <cell r="FO30" t="str">
            <v>0</v>
          </cell>
          <cell r="FP30">
            <v>0</v>
          </cell>
          <cell r="FQ30" t="str">
            <v>21</v>
          </cell>
        </row>
        <row r="31">
          <cell r="F31" t="str">
            <v>정윤호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 t="str">
            <v>(4일)</v>
          </cell>
          <cell r="EE31">
            <v>3</v>
          </cell>
          <cell r="EF31">
            <v>3</v>
          </cell>
          <cell r="EP31">
            <v>1</v>
          </cell>
          <cell r="EQ31">
            <v>1</v>
          </cell>
          <cell r="ER31" t="str">
            <v>(2일)</v>
          </cell>
          <cell r="FD31">
            <v>9</v>
          </cell>
          <cell r="FE31">
            <v>0</v>
          </cell>
          <cell r="FF31">
            <v>2</v>
          </cell>
          <cell r="FG31">
            <v>6</v>
          </cell>
          <cell r="FH31">
            <v>1</v>
          </cell>
          <cell r="FI31">
            <v>7</v>
          </cell>
          <cell r="FJ31">
            <v>25</v>
          </cell>
          <cell r="FK31">
            <v>18</v>
          </cell>
          <cell r="FL31">
            <v>16</v>
          </cell>
          <cell r="FM31">
            <v>2</v>
          </cell>
          <cell r="FN31" t="str">
            <v>1</v>
          </cell>
          <cell r="FO31" t="str">
            <v>1</v>
          </cell>
          <cell r="FP31">
            <v>2</v>
          </cell>
          <cell r="FQ31" t="str">
            <v>21</v>
          </cell>
        </row>
        <row r="32">
          <cell r="F32" t="str">
            <v>양국호</v>
          </cell>
          <cell r="W32">
            <v>2</v>
          </cell>
          <cell r="CF32">
            <v>1</v>
          </cell>
          <cell r="CG32">
            <v>1</v>
          </cell>
          <cell r="CH32">
            <v>1</v>
          </cell>
          <cell r="CI32" t="str">
            <v>(2일)</v>
          </cell>
          <cell r="EE32">
            <v>3</v>
          </cell>
          <cell r="EF32">
            <v>3</v>
          </cell>
          <cell r="EQ32">
            <v>2</v>
          </cell>
          <cell r="ER32">
            <v>2</v>
          </cell>
          <cell r="ES32">
            <v>2</v>
          </cell>
          <cell r="ET32">
            <v>2</v>
          </cell>
          <cell r="EU32">
            <v>2</v>
          </cell>
          <cell r="EV32">
            <v>2</v>
          </cell>
          <cell r="EW32">
            <v>2</v>
          </cell>
          <cell r="EX32">
            <v>2</v>
          </cell>
          <cell r="EY32">
            <v>2</v>
          </cell>
          <cell r="FD32">
            <v>9</v>
          </cell>
          <cell r="FE32">
            <v>10</v>
          </cell>
          <cell r="FF32">
            <v>2</v>
          </cell>
          <cell r="FG32">
            <v>2</v>
          </cell>
          <cell r="FH32">
            <v>5</v>
          </cell>
          <cell r="FI32">
            <v>7</v>
          </cell>
          <cell r="FJ32">
            <v>23</v>
          </cell>
          <cell r="FK32">
            <v>16</v>
          </cell>
          <cell r="FL32">
            <v>16</v>
          </cell>
          <cell r="FM32">
            <v>0</v>
          </cell>
          <cell r="FN32" t="str">
            <v>0</v>
          </cell>
          <cell r="FO32" t="str">
            <v>0</v>
          </cell>
          <cell r="FP32">
            <v>0</v>
          </cell>
          <cell r="FQ32" t="str">
            <v>21</v>
          </cell>
        </row>
        <row r="33">
          <cell r="F33" t="str">
            <v>유인석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 t="str">
            <v>(3일)</v>
          </cell>
          <cell r="BU33">
            <v>1</v>
          </cell>
          <cell r="BV33">
            <v>1</v>
          </cell>
          <cell r="BW33">
            <v>1</v>
          </cell>
          <cell r="BX33" t="str">
            <v>(3일)</v>
          </cell>
          <cell r="DV33">
            <v>3</v>
          </cell>
          <cell r="DW33">
            <v>3</v>
          </cell>
          <cell r="FD33">
            <v>13</v>
          </cell>
          <cell r="FE33">
            <v>0</v>
          </cell>
          <cell r="FF33">
            <v>2</v>
          </cell>
          <cell r="FG33">
            <v>6</v>
          </cell>
          <cell r="FH33">
            <v>4</v>
          </cell>
          <cell r="FI33">
            <v>10</v>
          </cell>
          <cell r="FJ33">
            <v>25</v>
          </cell>
          <cell r="FK33">
            <v>15</v>
          </cell>
          <cell r="FL33">
            <v>16</v>
          </cell>
          <cell r="FM33">
            <v>-1</v>
          </cell>
          <cell r="FN33" t="str">
            <v>0</v>
          </cell>
          <cell r="FO33" t="str">
            <v>1</v>
          </cell>
          <cell r="FP33">
            <v>1</v>
          </cell>
          <cell r="FQ33" t="str">
            <v>21</v>
          </cell>
        </row>
        <row r="34">
          <cell r="F34" t="str">
            <v>정우갑</v>
          </cell>
          <cell r="DT34">
            <v>2</v>
          </cell>
          <cell r="DU34">
            <v>2</v>
          </cell>
          <cell r="EG34">
            <v>3</v>
          </cell>
          <cell r="EH34">
            <v>3</v>
          </cell>
          <cell r="FD34">
            <v>0</v>
          </cell>
          <cell r="FE34">
            <v>3</v>
          </cell>
          <cell r="FF34">
            <v>2</v>
          </cell>
          <cell r="FH34">
            <v>0</v>
          </cell>
          <cell r="FI34">
            <v>0</v>
          </cell>
          <cell r="FJ34">
            <v>23</v>
          </cell>
          <cell r="FK34">
            <v>23</v>
          </cell>
          <cell r="FL34">
            <v>16</v>
          </cell>
          <cell r="FM34">
            <v>7</v>
          </cell>
          <cell r="FN34" t="str">
            <v>1</v>
          </cell>
          <cell r="FO34" t="str">
            <v>0</v>
          </cell>
          <cell r="FP34">
            <v>1</v>
          </cell>
          <cell r="FQ34" t="str">
            <v>21</v>
          </cell>
        </row>
        <row r="35">
          <cell r="F35" t="str">
            <v>최명규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 t="str">
            <v>(5일)</v>
          </cell>
          <cell r="CB35">
            <v>1</v>
          </cell>
          <cell r="CC35">
            <v>1</v>
          </cell>
          <cell r="CD35">
            <v>1</v>
          </cell>
          <cell r="CE35" t="str">
            <v>(2일)</v>
          </cell>
          <cell r="DV35">
            <v>3</v>
          </cell>
          <cell r="DW35">
            <v>3</v>
          </cell>
          <cell r="EL35">
            <v>2</v>
          </cell>
          <cell r="FD35">
            <v>9</v>
          </cell>
          <cell r="FE35">
            <v>1</v>
          </cell>
          <cell r="FF35">
            <v>2</v>
          </cell>
          <cell r="FG35">
            <v>7</v>
          </cell>
          <cell r="FH35">
            <v>0</v>
          </cell>
          <cell r="FI35">
            <v>7</v>
          </cell>
          <cell r="FJ35">
            <v>23</v>
          </cell>
          <cell r="FK35">
            <v>16</v>
          </cell>
          <cell r="FL35">
            <v>16</v>
          </cell>
          <cell r="FM35">
            <v>0</v>
          </cell>
          <cell r="FN35" t="str">
            <v>0</v>
          </cell>
          <cell r="FO35" t="str">
            <v>0</v>
          </cell>
          <cell r="FP35">
            <v>0</v>
          </cell>
          <cell r="FQ35" t="str">
            <v>21</v>
          </cell>
        </row>
        <row r="36">
          <cell r="F36" t="str">
            <v>노상일</v>
          </cell>
          <cell r="BR36">
            <v>1</v>
          </cell>
          <cell r="BS36">
            <v>1</v>
          </cell>
          <cell r="BT36">
            <v>1</v>
          </cell>
          <cell r="BU36" t="str">
            <v>(2일)</v>
          </cell>
          <cell r="DX36">
            <v>3</v>
          </cell>
          <cell r="DY36">
            <v>3</v>
          </cell>
          <cell r="FB36">
            <v>1</v>
          </cell>
          <cell r="FC36" t="str">
            <v>(1일)</v>
          </cell>
          <cell r="FD36">
            <v>4</v>
          </cell>
          <cell r="FE36">
            <v>0</v>
          </cell>
          <cell r="FF36">
            <v>3</v>
          </cell>
          <cell r="FG36">
            <v>3</v>
          </cell>
          <cell r="FH36">
            <v>0</v>
          </cell>
          <cell r="FI36">
            <v>3</v>
          </cell>
          <cell r="FJ36">
            <v>16</v>
          </cell>
          <cell r="FK36">
            <v>13</v>
          </cell>
          <cell r="FL36">
            <v>16</v>
          </cell>
          <cell r="FM36">
            <v>-3</v>
          </cell>
          <cell r="FN36" t="str">
            <v>0</v>
          </cell>
          <cell r="FO36" t="str">
            <v>1</v>
          </cell>
          <cell r="FP36">
            <v>1</v>
          </cell>
          <cell r="FQ36">
            <v>17</v>
          </cell>
        </row>
        <row r="37">
          <cell r="F37" t="str">
            <v>박경호</v>
          </cell>
          <cell r="W37">
            <v>1</v>
          </cell>
          <cell r="X37" t="str">
            <v>(1일)</v>
          </cell>
          <cell r="CB37">
            <v>1</v>
          </cell>
          <cell r="CC37">
            <v>1</v>
          </cell>
          <cell r="CD37">
            <v>1</v>
          </cell>
          <cell r="CE37" t="str">
            <v>(2일)</v>
          </cell>
          <cell r="DS37">
            <v>3</v>
          </cell>
          <cell r="DT37">
            <v>3</v>
          </cell>
          <cell r="FD37">
            <v>5</v>
          </cell>
          <cell r="FE37">
            <v>0</v>
          </cell>
          <cell r="FF37">
            <v>2</v>
          </cell>
          <cell r="FG37">
            <v>3</v>
          </cell>
          <cell r="FH37">
            <v>1</v>
          </cell>
          <cell r="FI37">
            <v>4</v>
          </cell>
          <cell r="FJ37">
            <v>25</v>
          </cell>
          <cell r="FK37">
            <v>21</v>
          </cell>
          <cell r="FL37">
            <v>16</v>
          </cell>
          <cell r="FM37">
            <v>5</v>
          </cell>
          <cell r="FN37" t="str">
            <v>1</v>
          </cell>
          <cell r="FO37" t="str">
            <v>1</v>
          </cell>
          <cell r="FP37">
            <v>2</v>
          </cell>
          <cell r="FQ37" t="str">
            <v>21</v>
          </cell>
        </row>
        <row r="38">
          <cell r="F38" t="str">
            <v>이수희</v>
          </cell>
          <cell r="AJ38">
            <v>1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 t="str">
            <v>(5일)</v>
          </cell>
          <cell r="CQ38">
            <v>1</v>
          </cell>
          <cell r="CR38">
            <v>1</v>
          </cell>
          <cell r="CS38">
            <v>1</v>
          </cell>
          <cell r="CT38" t="str">
            <v>(2일)</v>
          </cell>
          <cell r="EC38">
            <v>3</v>
          </cell>
          <cell r="ED38">
            <v>3</v>
          </cell>
          <cell r="EJ38">
            <v>1</v>
          </cell>
          <cell r="EK38" t="str">
            <v>(1일)</v>
          </cell>
          <cell r="FD38">
            <v>13</v>
          </cell>
          <cell r="FE38">
            <v>1</v>
          </cell>
          <cell r="FF38">
            <v>5</v>
          </cell>
          <cell r="FG38">
            <v>8</v>
          </cell>
          <cell r="FH38">
            <v>3</v>
          </cell>
          <cell r="FI38">
            <v>11</v>
          </cell>
          <cell r="FJ38">
            <v>24</v>
          </cell>
          <cell r="FK38">
            <v>13</v>
          </cell>
          <cell r="FL38">
            <v>16</v>
          </cell>
          <cell r="FM38">
            <v>-3</v>
          </cell>
          <cell r="FN38" t="str">
            <v>0</v>
          </cell>
          <cell r="FO38" t="str">
            <v>0</v>
          </cell>
          <cell r="FP38">
            <v>0</v>
          </cell>
          <cell r="FQ38" t="str">
            <v>21</v>
          </cell>
        </row>
        <row r="39">
          <cell r="F39" t="str">
            <v>임재석</v>
          </cell>
          <cell r="BY39">
            <v>1</v>
          </cell>
          <cell r="BZ39">
            <v>1</v>
          </cell>
          <cell r="CA39">
            <v>1</v>
          </cell>
          <cell r="CB39" t="str">
            <v>(2일)</v>
          </cell>
          <cell r="DS39">
            <v>3</v>
          </cell>
          <cell r="DT39">
            <v>3</v>
          </cell>
          <cell r="FD39">
            <v>9</v>
          </cell>
          <cell r="FE39">
            <v>0</v>
          </cell>
          <cell r="FF39">
            <v>2</v>
          </cell>
          <cell r="FG39">
            <v>2</v>
          </cell>
          <cell r="FH39">
            <v>4</v>
          </cell>
          <cell r="FI39">
            <v>6</v>
          </cell>
          <cell r="FJ39">
            <v>16</v>
          </cell>
          <cell r="FK39">
            <v>10</v>
          </cell>
          <cell r="FL39">
            <v>16</v>
          </cell>
          <cell r="FM39">
            <v>-6</v>
          </cell>
          <cell r="FN39" t="str">
            <v>0</v>
          </cell>
          <cell r="FO39" t="str">
            <v>1</v>
          </cell>
          <cell r="FP39">
            <v>1</v>
          </cell>
          <cell r="FQ39">
            <v>17</v>
          </cell>
        </row>
        <row r="40">
          <cell r="F40" t="str">
            <v>김성길</v>
          </cell>
          <cell r="CQ40">
            <v>1</v>
          </cell>
          <cell r="CR40">
            <v>1</v>
          </cell>
          <cell r="CS40" t="str">
            <v>(1일)</v>
          </cell>
          <cell r="DQ40">
            <v>3</v>
          </cell>
          <cell r="DR40">
            <v>3</v>
          </cell>
          <cell r="EA40">
            <v>3</v>
          </cell>
          <cell r="FD40">
            <v>2</v>
          </cell>
          <cell r="FE40">
            <v>3</v>
          </cell>
          <cell r="FF40">
            <v>4</v>
          </cell>
          <cell r="FG40">
            <v>1</v>
          </cell>
          <cell r="FH40">
            <v>0</v>
          </cell>
          <cell r="FI40">
            <v>1</v>
          </cell>
          <cell r="FJ40">
            <v>16</v>
          </cell>
          <cell r="FK40">
            <v>15</v>
          </cell>
          <cell r="FL40">
            <v>16</v>
          </cell>
          <cell r="FM40">
            <v>-1</v>
          </cell>
          <cell r="FN40" t="str">
            <v>0</v>
          </cell>
          <cell r="FO40" t="str">
            <v>0</v>
          </cell>
          <cell r="FP40">
            <v>0</v>
          </cell>
          <cell r="FQ40">
            <v>16</v>
          </cell>
        </row>
        <row r="41">
          <cell r="F41" t="str">
            <v>권이천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 t="str">
            <v>(4일)</v>
          </cell>
          <cell r="CB41">
            <v>1</v>
          </cell>
          <cell r="CC41">
            <v>1</v>
          </cell>
          <cell r="CD41">
            <v>1</v>
          </cell>
          <cell r="CE41" t="str">
            <v>(2일)</v>
          </cell>
          <cell r="DT41">
            <v>3</v>
          </cell>
          <cell r="DU41">
            <v>3</v>
          </cell>
          <cell r="FD41">
            <v>9</v>
          </cell>
          <cell r="FE41">
            <v>0</v>
          </cell>
          <cell r="FF41">
            <v>7</v>
          </cell>
          <cell r="FG41">
            <v>6</v>
          </cell>
          <cell r="FH41">
            <v>0</v>
          </cell>
          <cell r="FI41">
            <v>6</v>
          </cell>
          <cell r="FJ41">
            <v>23</v>
          </cell>
          <cell r="FK41">
            <v>17</v>
          </cell>
          <cell r="FL41">
            <v>16</v>
          </cell>
          <cell r="FM41">
            <v>1</v>
          </cell>
          <cell r="FN41" t="str">
            <v>1</v>
          </cell>
          <cell r="FO41" t="str">
            <v>1</v>
          </cell>
          <cell r="FP41">
            <v>2</v>
          </cell>
          <cell r="FQ41" t="str">
            <v>21</v>
          </cell>
        </row>
        <row r="42">
          <cell r="F42" t="str">
            <v>김승찬</v>
          </cell>
          <cell r="CF42">
            <v>1</v>
          </cell>
          <cell r="CG42">
            <v>1</v>
          </cell>
          <cell r="CH42">
            <v>1</v>
          </cell>
          <cell r="CI42" t="str">
            <v>(3일)</v>
          </cell>
          <cell r="EG42">
            <v>3</v>
          </cell>
          <cell r="EH42">
            <v>3</v>
          </cell>
          <cell r="FD42">
            <v>13</v>
          </cell>
          <cell r="FE42">
            <v>0</v>
          </cell>
          <cell r="FF42">
            <v>2</v>
          </cell>
          <cell r="FG42">
            <v>3</v>
          </cell>
          <cell r="FH42">
            <v>8</v>
          </cell>
          <cell r="FI42">
            <v>11</v>
          </cell>
          <cell r="FJ42">
            <v>24</v>
          </cell>
          <cell r="FK42">
            <v>13</v>
          </cell>
          <cell r="FL42">
            <v>16</v>
          </cell>
          <cell r="FM42">
            <v>-3</v>
          </cell>
          <cell r="FN42" t="str">
            <v>0</v>
          </cell>
          <cell r="FO42" t="str">
            <v>1</v>
          </cell>
          <cell r="FP42">
            <v>1</v>
          </cell>
          <cell r="FQ42" t="str">
            <v>21</v>
          </cell>
        </row>
        <row r="43">
          <cell r="F43" t="str">
            <v>백현동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 t="str">
            <v>(4일)</v>
          </cell>
          <cell r="AG43">
            <v>1</v>
          </cell>
          <cell r="AH43" t="str">
            <v>(1일)</v>
          </cell>
          <cell r="CT43">
            <v>1</v>
          </cell>
          <cell r="CU43">
            <v>1</v>
          </cell>
          <cell r="CV43">
            <v>1</v>
          </cell>
          <cell r="CW43" t="str">
            <v>(2일)</v>
          </cell>
          <cell r="DS43">
            <v>2</v>
          </cell>
          <cell r="DT43">
            <v>2</v>
          </cell>
          <cell r="EG43">
            <v>3</v>
          </cell>
          <cell r="EH43">
            <v>3</v>
          </cell>
          <cell r="FD43">
            <v>12</v>
          </cell>
          <cell r="FE43">
            <v>3</v>
          </cell>
          <cell r="FF43">
            <v>2</v>
          </cell>
          <cell r="FG43">
            <v>7</v>
          </cell>
          <cell r="FH43">
            <v>2</v>
          </cell>
          <cell r="FI43">
            <v>9</v>
          </cell>
          <cell r="FJ43">
            <v>24</v>
          </cell>
          <cell r="FK43">
            <v>15</v>
          </cell>
          <cell r="FL43">
            <v>16</v>
          </cell>
          <cell r="FM43">
            <v>-1</v>
          </cell>
          <cell r="FN43" t="str">
            <v>0</v>
          </cell>
          <cell r="FO43" t="str">
            <v>0</v>
          </cell>
          <cell r="FP43">
            <v>0</v>
          </cell>
          <cell r="FQ43" t="str">
            <v>21</v>
          </cell>
        </row>
        <row r="44">
          <cell r="F44" t="str">
            <v>유민희</v>
          </cell>
          <cell r="CX44">
            <v>1</v>
          </cell>
          <cell r="CY44">
            <v>1</v>
          </cell>
          <cell r="CZ44">
            <v>1</v>
          </cell>
          <cell r="DA44" t="str">
            <v>(3일)</v>
          </cell>
          <cell r="DO44">
            <v>3</v>
          </cell>
          <cell r="DP44">
            <v>3</v>
          </cell>
          <cell r="FD44">
            <v>10</v>
          </cell>
          <cell r="FE44">
            <v>0</v>
          </cell>
          <cell r="FF44">
            <v>5</v>
          </cell>
          <cell r="FG44">
            <v>3</v>
          </cell>
          <cell r="FH44">
            <v>6</v>
          </cell>
          <cell r="FI44">
            <v>9</v>
          </cell>
          <cell r="FJ44">
            <v>25</v>
          </cell>
          <cell r="FK44">
            <v>16</v>
          </cell>
          <cell r="FL44">
            <v>16</v>
          </cell>
          <cell r="FM44">
            <v>0</v>
          </cell>
          <cell r="FN44" t="str">
            <v>0</v>
          </cell>
          <cell r="FO44" t="str">
            <v>1</v>
          </cell>
          <cell r="FP44">
            <v>1</v>
          </cell>
          <cell r="FQ44" t="str">
            <v>21</v>
          </cell>
        </row>
        <row r="45">
          <cell r="F45" t="str">
            <v>최택림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 t="str">
            <v>(5일)</v>
          </cell>
          <cell r="CP45">
            <v>1</v>
          </cell>
          <cell r="CQ45">
            <v>1</v>
          </cell>
          <cell r="CR45">
            <v>1</v>
          </cell>
          <cell r="CS45" t="str">
            <v>(3일)</v>
          </cell>
          <cell r="EC45">
            <v>3</v>
          </cell>
          <cell r="ED45">
            <v>3</v>
          </cell>
          <cell r="FD45">
            <v>13</v>
          </cell>
          <cell r="FE45">
            <v>1</v>
          </cell>
          <cell r="FF45">
            <v>8</v>
          </cell>
          <cell r="FG45">
            <v>8</v>
          </cell>
          <cell r="FH45">
            <v>3</v>
          </cell>
          <cell r="FI45">
            <v>11</v>
          </cell>
          <cell r="FJ45">
            <v>23</v>
          </cell>
          <cell r="FK45">
            <v>12</v>
          </cell>
          <cell r="FL45">
            <v>16</v>
          </cell>
          <cell r="FM45">
            <v>-4</v>
          </cell>
          <cell r="FN45" t="str">
            <v>0</v>
          </cell>
          <cell r="FO45" t="str">
            <v>0</v>
          </cell>
          <cell r="FP45">
            <v>0</v>
          </cell>
          <cell r="FQ45" t="str">
            <v>21</v>
          </cell>
        </row>
        <row r="46">
          <cell r="F46" t="str">
            <v>최한영</v>
          </cell>
          <cell r="BX46">
            <v>1</v>
          </cell>
          <cell r="BY46">
            <v>1</v>
          </cell>
          <cell r="BZ46">
            <v>1</v>
          </cell>
          <cell r="CA46" t="str">
            <v>(3일)</v>
          </cell>
          <cell r="EB46">
            <v>3</v>
          </cell>
          <cell r="EC46">
            <v>3</v>
          </cell>
          <cell r="FD46">
            <v>12</v>
          </cell>
          <cell r="FE46">
            <v>2</v>
          </cell>
          <cell r="FF46">
            <v>2</v>
          </cell>
          <cell r="FG46">
            <v>3</v>
          </cell>
          <cell r="FH46">
            <v>7</v>
          </cell>
          <cell r="FI46">
            <v>10</v>
          </cell>
          <cell r="FJ46">
            <v>23</v>
          </cell>
          <cell r="FK46">
            <v>13</v>
          </cell>
          <cell r="FL46">
            <v>16</v>
          </cell>
          <cell r="FM46">
            <v>-3</v>
          </cell>
          <cell r="FN46" t="str">
            <v>0</v>
          </cell>
          <cell r="FO46" t="str">
            <v>0</v>
          </cell>
          <cell r="FP46">
            <v>0</v>
          </cell>
          <cell r="FQ46" t="str">
            <v>21</v>
          </cell>
        </row>
        <row r="47">
          <cell r="F47" t="str">
            <v>여영정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 t="str">
            <v>(4일)</v>
          </cell>
          <cell r="AN47">
            <v>1</v>
          </cell>
          <cell r="AO47" t="str">
            <v>(1일)</v>
          </cell>
          <cell r="CP47">
            <v>1</v>
          </cell>
          <cell r="CQ47">
            <v>1</v>
          </cell>
          <cell r="CR47">
            <v>1</v>
          </cell>
          <cell r="CS47" t="str">
            <v>(3일)</v>
          </cell>
          <cell r="ED47">
            <v>3</v>
          </cell>
          <cell r="EE47">
            <v>3</v>
          </cell>
          <cell r="FD47">
            <v>13</v>
          </cell>
          <cell r="FE47">
            <v>0</v>
          </cell>
          <cell r="FF47">
            <v>2</v>
          </cell>
          <cell r="FG47">
            <v>8</v>
          </cell>
          <cell r="FH47">
            <v>2</v>
          </cell>
          <cell r="FI47">
            <v>10</v>
          </cell>
          <cell r="FJ47">
            <v>24</v>
          </cell>
          <cell r="FK47">
            <v>14</v>
          </cell>
          <cell r="FL47">
            <v>16</v>
          </cell>
          <cell r="FM47">
            <v>-2</v>
          </cell>
          <cell r="FN47" t="str">
            <v>0</v>
          </cell>
          <cell r="FO47" t="str">
            <v>1</v>
          </cell>
          <cell r="FP47">
            <v>1</v>
          </cell>
          <cell r="FQ47" t="str">
            <v>21</v>
          </cell>
        </row>
        <row r="48">
          <cell r="F48" t="str">
            <v>박순모</v>
          </cell>
          <cell r="BW48">
            <v>1</v>
          </cell>
          <cell r="BX48">
            <v>1</v>
          </cell>
          <cell r="BY48" t="str">
            <v>(2일)</v>
          </cell>
          <cell r="EE48">
            <v>3</v>
          </cell>
          <cell r="EF48">
            <v>3</v>
          </cell>
          <cell r="EI48">
            <v>1</v>
          </cell>
          <cell r="EJ48" t="str">
            <v>(1일)</v>
          </cell>
          <cell r="EU48">
            <v>1</v>
          </cell>
          <cell r="EV48">
            <v>1</v>
          </cell>
          <cell r="EW48" t="str">
            <v>(2일)</v>
          </cell>
          <cell r="FD48">
            <v>11</v>
          </cell>
          <cell r="FE48">
            <v>1</v>
          </cell>
          <cell r="FF48">
            <v>2</v>
          </cell>
          <cell r="FG48">
            <v>5</v>
          </cell>
          <cell r="FH48">
            <v>4</v>
          </cell>
          <cell r="FI48">
            <v>9</v>
          </cell>
          <cell r="FJ48">
            <v>23</v>
          </cell>
          <cell r="FK48">
            <v>14</v>
          </cell>
          <cell r="FL48">
            <v>16</v>
          </cell>
          <cell r="FM48">
            <v>-2</v>
          </cell>
          <cell r="FN48" t="str">
            <v>0</v>
          </cell>
          <cell r="FO48" t="str">
            <v>0</v>
          </cell>
          <cell r="FP48">
            <v>0</v>
          </cell>
          <cell r="FQ48" t="str">
            <v>21</v>
          </cell>
        </row>
        <row r="49">
          <cell r="F49" t="str">
            <v>이도현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 t="str">
            <v>(4일)</v>
          </cell>
          <cell r="CP49">
            <v>1</v>
          </cell>
          <cell r="CQ49">
            <v>1</v>
          </cell>
          <cell r="CR49">
            <v>1</v>
          </cell>
          <cell r="CS49" t="str">
            <v>(3일)</v>
          </cell>
          <cell r="DG49">
            <v>2</v>
          </cell>
          <cell r="DZ49">
            <v>3</v>
          </cell>
          <cell r="EA49">
            <v>3</v>
          </cell>
          <cell r="FD49">
            <v>14</v>
          </cell>
          <cell r="FE49">
            <v>3</v>
          </cell>
          <cell r="FF49">
            <v>2</v>
          </cell>
          <cell r="FG49">
            <v>7</v>
          </cell>
          <cell r="FH49">
            <v>4</v>
          </cell>
          <cell r="FI49">
            <v>11</v>
          </cell>
          <cell r="FJ49">
            <v>23</v>
          </cell>
          <cell r="FK49">
            <v>12</v>
          </cell>
          <cell r="FL49">
            <v>16</v>
          </cell>
          <cell r="FM49">
            <v>-4</v>
          </cell>
          <cell r="FN49" t="str">
            <v>0</v>
          </cell>
          <cell r="FO49" t="str">
            <v>0</v>
          </cell>
          <cell r="FP49">
            <v>0</v>
          </cell>
          <cell r="FQ49" t="str">
            <v>21</v>
          </cell>
        </row>
        <row r="50">
          <cell r="F50" t="str">
            <v>이석균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 t="str">
            <v>(5일)</v>
          </cell>
          <cell r="CI50">
            <v>1</v>
          </cell>
          <cell r="CJ50">
            <v>1</v>
          </cell>
          <cell r="CK50">
            <v>1</v>
          </cell>
          <cell r="CL50" t="str">
            <v>(2일)</v>
          </cell>
          <cell r="DZ50">
            <v>3</v>
          </cell>
          <cell r="EA50">
            <v>3</v>
          </cell>
          <cell r="FD50">
            <v>12</v>
          </cell>
          <cell r="FE50">
            <v>0</v>
          </cell>
          <cell r="FF50">
            <v>2</v>
          </cell>
          <cell r="FG50">
            <v>7</v>
          </cell>
          <cell r="FH50">
            <v>1</v>
          </cell>
          <cell r="FI50">
            <v>8</v>
          </cell>
          <cell r="FJ50">
            <v>25</v>
          </cell>
          <cell r="FK50">
            <v>17</v>
          </cell>
          <cell r="FL50">
            <v>16</v>
          </cell>
          <cell r="FM50">
            <v>1</v>
          </cell>
          <cell r="FN50" t="str">
            <v>1</v>
          </cell>
          <cell r="FO50" t="str">
            <v>1</v>
          </cell>
          <cell r="FP50">
            <v>2</v>
          </cell>
          <cell r="FQ50" t="str">
            <v>21</v>
          </cell>
        </row>
        <row r="51">
          <cell r="F51" t="str">
            <v>최용석</v>
          </cell>
          <cell r="FD51">
            <v>4</v>
          </cell>
          <cell r="FE51">
            <v>1</v>
          </cell>
          <cell r="FF51">
            <v>0</v>
          </cell>
          <cell r="FH51">
            <v>2.5</v>
          </cell>
          <cell r="FI51">
            <v>2.5</v>
          </cell>
          <cell r="FJ51">
            <v>24</v>
          </cell>
          <cell r="FK51">
            <v>21.5</v>
          </cell>
          <cell r="FL51">
            <v>16</v>
          </cell>
          <cell r="FM51">
            <v>5.5</v>
          </cell>
          <cell r="FN51" t="str">
            <v>1</v>
          </cell>
          <cell r="FO51" t="str">
            <v>0</v>
          </cell>
          <cell r="FP51">
            <v>1</v>
          </cell>
          <cell r="FQ51" t="str">
            <v>21</v>
          </cell>
        </row>
        <row r="52">
          <cell r="F52" t="str">
            <v>황만연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 t="str">
            <v>(4일)</v>
          </cell>
          <cell r="CT52">
            <v>1</v>
          </cell>
          <cell r="CU52">
            <v>1</v>
          </cell>
          <cell r="CV52">
            <v>1</v>
          </cell>
          <cell r="CW52" t="str">
            <v>(2일)</v>
          </cell>
          <cell r="EE52">
            <v>3</v>
          </cell>
          <cell r="EF52">
            <v>3</v>
          </cell>
          <cell r="FD52">
            <v>14</v>
          </cell>
          <cell r="FE52">
            <v>1</v>
          </cell>
          <cell r="FF52">
            <v>2</v>
          </cell>
          <cell r="FG52">
            <v>6</v>
          </cell>
          <cell r="FH52">
            <v>4</v>
          </cell>
          <cell r="FI52">
            <v>10</v>
          </cell>
          <cell r="FJ52">
            <v>23</v>
          </cell>
          <cell r="FK52">
            <v>13</v>
          </cell>
          <cell r="FL52">
            <v>16</v>
          </cell>
          <cell r="FM52">
            <v>-3</v>
          </cell>
          <cell r="FN52" t="str">
            <v>0</v>
          </cell>
          <cell r="FO52" t="str">
            <v>0</v>
          </cell>
          <cell r="FP52">
            <v>0</v>
          </cell>
          <cell r="FQ52" t="str">
            <v>21</v>
          </cell>
        </row>
        <row r="53">
          <cell r="F53" t="str">
            <v>오창문</v>
          </cell>
          <cell r="CB53">
            <v>1</v>
          </cell>
          <cell r="CC53">
            <v>1</v>
          </cell>
          <cell r="CD53">
            <v>1</v>
          </cell>
          <cell r="CE53" t="str">
            <v>(2일)</v>
          </cell>
          <cell r="DV53">
            <v>3</v>
          </cell>
          <cell r="DW53">
            <v>3</v>
          </cell>
          <cell r="FD53">
            <v>10</v>
          </cell>
          <cell r="FE53">
            <v>0</v>
          </cell>
          <cell r="FF53">
            <v>2</v>
          </cell>
          <cell r="FG53">
            <v>2</v>
          </cell>
          <cell r="FH53">
            <v>4</v>
          </cell>
          <cell r="FI53">
            <v>6</v>
          </cell>
          <cell r="FJ53">
            <v>24</v>
          </cell>
          <cell r="FK53">
            <v>18</v>
          </cell>
          <cell r="FL53">
            <v>16</v>
          </cell>
          <cell r="FM53">
            <v>2</v>
          </cell>
          <cell r="FN53" t="str">
            <v>1</v>
          </cell>
          <cell r="FO53" t="str">
            <v>1</v>
          </cell>
          <cell r="FP53">
            <v>2</v>
          </cell>
          <cell r="FQ53" t="str">
            <v>21</v>
          </cell>
        </row>
        <row r="54">
          <cell r="F54" t="str">
            <v>윤남귀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 t="str">
            <v>(5일)</v>
          </cell>
          <cell r="CX54">
            <v>1</v>
          </cell>
          <cell r="CY54">
            <v>1</v>
          </cell>
          <cell r="CZ54">
            <v>1</v>
          </cell>
          <cell r="DA54" t="str">
            <v>(3일)</v>
          </cell>
          <cell r="DQ54">
            <v>3</v>
          </cell>
          <cell r="DR54">
            <v>3</v>
          </cell>
          <cell r="FD54">
            <v>9</v>
          </cell>
          <cell r="FE54">
            <v>0</v>
          </cell>
          <cell r="FF54">
            <v>2</v>
          </cell>
          <cell r="FG54">
            <v>8</v>
          </cell>
          <cell r="FH54">
            <v>0</v>
          </cell>
          <cell r="FI54">
            <v>8</v>
          </cell>
          <cell r="FJ54">
            <v>16</v>
          </cell>
          <cell r="FK54">
            <v>8</v>
          </cell>
          <cell r="FL54">
            <v>16</v>
          </cell>
          <cell r="FM54">
            <v>-8</v>
          </cell>
          <cell r="FN54" t="str">
            <v>0</v>
          </cell>
          <cell r="FO54" t="str">
            <v>1</v>
          </cell>
          <cell r="FP54">
            <v>1</v>
          </cell>
          <cell r="FQ54">
            <v>17</v>
          </cell>
        </row>
        <row r="55">
          <cell r="F55" t="str">
            <v>조성균</v>
          </cell>
          <cell r="CF55">
            <v>1</v>
          </cell>
          <cell r="CG55">
            <v>1</v>
          </cell>
          <cell r="CH55">
            <v>1</v>
          </cell>
          <cell r="CI55" t="str">
            <v>(3일)</v>
          </cell>
          <cell r="DZ55">
            <v>3</v>
          </cell>
          <cell r="EA55">
            <v>3</v>
          </cell>
          <cell r="FD55">
            <v>9</v>
          </cell>
          <cell r="FE55">
            <v>0</v>
          </cell>
          <cell r="FF55">
            <v>2</v>
          </cell>
          <cell r="FG55">
            <v>3</v>
          </cell>
          <cell r="FH55">
            <v>3</v>
          </cell>
          <cell r="FI55">
            <v>6</v>
          </cell>
          <cell r="FJ55">
            <v>16</v>
          </cell>
          <cell r="FK55">
            <v>10</v>
          </cell>
          <cell r="FL55">
            <v>16</v>
          </cell>
          <cell r="FM55">
            <v>-6</v>
          </cell>
          <cell r="FN55" t="str">
            <v>0</v>
          </cell>
          <cell r="FO55" t="str">
            <v>1</v>
          </cell>
          <cell r="FP55">
            <v>1</v>
          </cell>
          <cell r="FQ55">
            <v>17</v>
          </cell>
        </row>
        <row r="56">
          <cell r="F56" t="str">
            <v>윤성철</v>
          </cell>
          <cell r="AV56">
            <v>1</v>
          </cell>
          <cell r="AW56" t="str">
            <v>(1일)</v>
          </cell>
          <cell r="CI56">
            <v>1</v>
          </cell>
          <cell r="CJ56">
            <v>1</v>
          </cell>
          <cell r="CK56">
            <v>1</v>
          </cell>
          <cell r="CL56" t="str">
            <v>(2일)</v>
          </cell>
          <cell r="EB56">
            <v>3</v>
          </cell>
          <cell r="EE56">
            <v>3</v>
          </cell>
          <cell r="EF56">
            <v>3</v>
          </cell>
          <cell r="EL56">
            <v>2</v>
          </cell>
          <cell r="EM56">
            <v>3</v>
          </cell>
          <cell r="EN56">
            <v>3</v>
          </cell>
          <cell r="EO56">
            <v>3</v>
          </cell>
          <cell r="FD56">
            <v>13</v>
          </cell>
          <cell r="FE56">
            <v>1</v>
          </cell>
          <cell r="FF56">
            <v>13</v>
          </cell>
          <cell r="FG56">
            <v>3</v>
          </cell>
          <cell r="FH56">
            <v>6</v>
          </cell>
          <cell r="FI56">
            <v>9</v>
          </cell>
          <cell r="FJ56">
            <v>25</v>
          </cell>
          <cell r="FK56">
            <v>16</v>
          </cell>
          <cell r="FL56">
            <v>16</v>
          </cell>
          <cell r="FM56">
            <v>0</v>
          </cell>
          <cell r="FN56" t="str">
            <v>0</v>
          </cell>
          <cell r="FO56" t="str">
            <v>0</v>
          </cell>
          <cell r="FP56">
            <v>0</v>
          </cell>
          <cell r="FQ56" t="str">
            <v>21</v>
          </cell>
        </row>
        <row r="57">
          <cell r="F57" t="str">
            <v>박주삼</v>
          </cell>
          <cell r="J57">
            <v>2</v>
          </cell>
          <cell r="K57">
            <v>2</v>
          </cell>
          <cell r="L57">
            <v>2</v>
          </cell>
          <cell r="M57">
            <v>2</v>
          </cell>
          <cell r="N57">
            <v>2</v>
          </cell>
          <cell r="CM57">
            <v>1</v>
          </cell>
          <cell r="CN57">
            <v>1</v>
          </cell>
          <cell r="CO57">
            <v>1</v>
          </cell>
          <cell r="CP57" t="str">
            <v>(2일)</v>
          </cell>
          <cell r="EG57">
            <v>3</v>
          </cell>
          <cell r="EH57">
            <v>3</v>
          </cell>
          <cell r="FD57">
            <v>9</v>
          </cell>
          <cell r="FE57">
            <v>5</v>
          </cell>
          <cell r="FF57">
            <v>2</v>
          </cell>
          <cell r="FG57">
            <v>2</v>
          </cell>
          <cell r="FH57">
            <v>4</v>
          </cell>
          <cell r="FI57">
            <v>6</v>
          </cell>
          <cell r="FJ57">
            <v>16</v>
          </cell>
          <cell r="FK57">
            <v>10</v>
          </cell>
          <cell r="FL57">
            <v>16</v>
          </cell>
          <cell r="FM57">
            <v>-6</v>
          </cell>
          <cell r="FN57" t="str">
            <v>0</v>
          </cell>
          <cell r="FO57" t="str">
            <v>0</v>
          </cell>
          <cell r="FP57">
            <v>0</v>
          </cell>
          <cell r="FQ57">
            <v>16</v>
          </cell>
        </row>
        <row r="58">
          <cell r="F58" t="str">
            <v>김선철</v>
          </cell>
          <cell r="BU58">
            <v>1</v>
          </cell>
          <cell r="BV58">
            <v>1</v>
          </cell>
          <cell r="BW58">
            <v>1</v>
          </cell>
          <cell r="BX58" t="str">
            <v>(2일)</v>
          </cell>
          <cell r="EG58">
            <v>3</v>
          </cell>
          <cell r="EH58">
            <v>3</v>
          </cell>
          <cell r="FD58">
            <v>12</v>
          </cell>
          <cell r="FE58">
            <v>0</v>
          </cell>
          <cell r="FF58">
            <v>2</v>
          </cell>
          <cell r="FG58">
            <v>2</v>
          </cell>
          <cell r="FH58">
            <v>6</v>
          </cell>
          <cell r="FI58">
            <v>8</v>
          </cell>
          <cell r="FJ58">
            <v>23</v>
          </cell>
          <cell r="FK58">
            <v>15</v>
          </cell>
          <cell r="FL58">
            <v>16</v>
          </cell>
          <cell r="FM58">
            <v>-1</v>
          </cell>
          <cell r="FN58" t="str">
            <v>0</v>
          </cell>
          <cell r="FO58" t="str">
            <v>1</v>
          </cell>
          <cell r="FP58">
            <v>1</v>
          </cell>
          <cell r="FQ58" t="str">
            <v>21</v>
          </cell>
        </row>
        <row r="59">
          <cell r="F59" t="str">
            <v>유병각</v>
          </cell>
          <cell r="BR59">
            <v>1</v>
          </cell>
          <cell r="BS59">
            <v>1</v>
          </cell>
          <cell r="BT59">
            <v>1</v>
          </cell>
          <cell r="BU59" t="str">
            <v>(2일)</v>
          </cell>
          <cell r="BW59">
            <v>2</v>
          </cell>
          <cell r="CH59">
            <v>2</v>
          </cell>
          <cell r="DX59">
            <v>3</v>
          </cell>
          <cell r="DY59">
            <v>3</v>
          </cell>
          <cell r="EE59">
            <v>2</v>
          </cell>
          <cell r="EH59">
            <v>1</v>
          </cell>
          <cell r="EI59" t="str">
            <v>(1일)</v>
          </cell>
          <cell r="EZ59">
            <v>1</v>
          </cell>
          <cell r="FA59" t="str">
            <v>(1일)</v>
          </cell>
          <cell r="FD59">
            <v>15</v>
          </cell>
          <cell r="FE59">
            <v>4</v>
          </cell>
          <cell r="FF59">
            <v>5</v>
          </cell>
          <cell r="FG59">
            <v>4</v>
          </cell>
          <cell r="FH59">
            <v>10</v>
          </cell>
          <cell r="FI59">
            <v>14</v>
          </cell>
          <cell r="FJ59">
            <v>23</v>
          </cell>
          <cell r="FK59">
            <v>9</v>
          </cell>
          <cell r="FL59">
            <v>16</v>
          </cell>
          <cell r="FM59">
            <v>-7</v>
          </cell>
          <cell r="FN59" t="str">
            <v>0</v>
          </cell>
          <cell r="FO59" t="str">
            <v>0</v>
          </cell>
          <cell r="FP59">
            <v>0</v>
          </cell>
          <cell r="FQ59" t="str">
            <v>21</v>
          </cell>
        </row>
        <row r="60">
          <cell r="F60" t="str">
            <v>조동국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 t="str">
            <v>(5일)</v>
          </cell>
          <cell r="AR60">
            <v>1</v>
          </cell>
          <cell r="AS60" t="str">
            <v>(1일)</v>
          </cell>
          <cell r="BZ60">
            <v>1</v>
          </cell>
          <cell r="CA60">
            <v>1</v>
          </cell>
          <cell r="CB60" t="str">
            <v>(2일)</v>
          </cell>
          <cell r="DQ60">
            <v>3</v>
          </cell>
          <cell r="DR60">
            <v>3</v>
          </cell>
          <cell r="FD60">
            <v>11</v>
          </cell>
          <cell r="FE60">
            <v>1</v>
          </cell>
          <cell r="FF60">
            <v>2</v>
          </cell>
          <cell r="FG60">
            <v>8</v>
          </cell>
          <cell r="FH60">
            <v>2</v>
          </cell>
          <cell r="FI60">
            <v>10</v>
          </cell>
          <cell r="FJ60">
            <v>24</v>
          </cell>
          <cell r="FK60">
            <v>14</v>
          </cell>
          <cell r="FL60">
            <v>16</v>
          </cell>
          <cell r="FM60">
            <v>-2</v>
          </cell>
          <cell r="FN60" t="str">
            <v>0</v>
          </cell>
          <cell r="FO60" t="str">
            <v>0</v>
          </cell>
          <cell r="FP60">
            <v>0</v>
          </cell>
          <cell r="FQ60" t="str">
            <v>21</v>
          </cell>
        </row>
        <row r="61">
          <cell r="F61" t="str">
            <v>하종수</v>
          </cell>
          <cell r="R61">
            <v>3</v>
          </cell>
          <cell r="S61">
            <v>3</v>
          </cell>
          <cell r="T61">
            <v>3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BN61">
            <v>3</v>
          </cell>
          <cell r="BO61">
            <v>3</v>
          </cell>
          <cell r="CM61">
            <v>1</v>
          </cell>
          <cell r="CN61">
            <v>1</v>
          </cell>
          <cell r="CO61">
            <v>1</v>
          </cell>
          <cell r="CP61" t="str">
            <v>(3일)</v>
          </cell>
          <cell r="DO61">
            <v>3</v>
          </cell>
          <cell r="DP61">
            <v>3</v>
          </cell>
          <cell r="FD61">
            <v>11</v>
          </cell>
          <cell r="FE61">
            <v>0</v>
          </cell>
          <cell r="FF61">
            <v>16</v>
          </cell>
          <cell r="FG61">
            <v>3</v>
          </cell>
          <cell r="FH61">
            <v>8</v>
          </cell>
          <cell r="FI61">
            <v>11</v>
          </cell>
          <cell r="FJ61">
            <v>24</v>
          </cell>
          <cell r="FK61">
            <v>13</v>
          </cell>
          <cell r="FL61">
            <v>16</v>
          </cell>
          <cell r="FM61">
            <v>-3</v>
          </cell>
          <cell r="FN61" t="str">
            <v>0</v>
          </cell>
          <cell r="FO61" t="str">
            <v>1</v>
          </cell>
          <cell r="FP61">
            <v>1</v>
          </cell>
          <cell r="FQ61" t="str">
            <v>21</v>
          </cell>
        </row>
        <row r="62">
          <cell r="F62" t="str">
            <v>서병열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 t="str">
            <v>(5일)</v>
          </cell>
          <cell r="CW62">
            <v>1</v>
          </cell>
          <cell r="CX62">
            <v>1</v>
          </cell>
          <cell r="CY62">
            <v>1</v>
          </cell>
          <cell r="CZ62" t="str">
            <v>(2일)</v>
          </cell>
          <cell r="DZ62">
            <v>3</v>
          </cell>
          <cell r="EA62">
            <v>3</v>
          </cell>
          <cell r="ES62">
            <v>1</v>
          </cell>
          <cell r="ET62">
            <v>1</v>
          </cell>
          <cell r="EU62" t="str">
            <v>(2일)</v>
          </cell>
          <cell r="FD62">
            <v>11</v>
          </cell>
          <cell r="FE62">
            <v>0</v>
          </cell>
          <cell r="FF62">
            <v>2</v>
          </cell>
          <cell r="FG62">
            <v>9</v>
          </cell>
          <cell r="FH62">
            <v>0</v>
          </cell>
          <cell r="FI62">
            <v>9</v>
          </cell>
          <cell r="FJ62">
            <v>24</v>
          </cell>
          <cell r="FK62">
            <v>15</v>
          </cell>
          <cell r="FL62">
            <v>16</v>
          </cell>
          <cell r="FM62">
            <v>-1</v>
          </cell>
          <cell r="FN62" t="str">
            <v>0</v>
          </cell>
          <cell r="FO62" t="str">
            <v>1</v>
          </cell>
          <cell r="FP62">
            <v>1</v>
          </cell>
          <cell r="FQ62" t="str">
            <v>21</v>
          </cell>
        </row>
        <row r="63">
          <cell r="F63" t="str">
            <v>조만희</v>
          </cell>
          <cell r="G63">
            <v>1</v>
          </cell>
          <cell r="H63">
            <v>1</v>
          </cell>
          <cell r="I63">
            <v>1</v>
          </cell>
          <cell r="J63">
            <v>1</v>
          </cell>
          <cell r="K63">
            <v>1</v>
          </cell>
          <cell r="L63" t="str">
            <v>(4일)</v>
          </cell>
          <cell r="CK63">
            <v>1</v>
          </cell>
          <cell r="CL63">
            <v>1</v>
          </cell>
          <cell r="CM63" t="str">
            <v>(2일)</v>
          </cell>
          <cell r="DS63">
            <v>3</v>
          </cell>
          <cell r="DT63">
            <v>3</v>
          </cell>
          <cell r="EQ63">
            <v>1</v>
          </cell>
          <cell r="ER63" t="str">
            <v>(1일)</v>
          </cell>
          <cell r="FD63">
            <v>15</v>
          </cell>
          <cell r="FE63">
            <v>0</v>
          </cell>
          <cell r="FF63">
            <v>2</v>
          </cell>
          <cell r="FG63">
            <v>5</v>
          </cell>
          <cell r="FH63">
            <v>5</v>
          </cell>
          <cell r="FI63">
            <v>10</v>
          </cell>
          <cell r="FJ63">
            <v>23</v>
          </cell>
          <cell r="FK63">
            <v>13</v>
          </cell>
          <cell r="FL63">
            <v>16</v>
          </cell>
          <cell r="FM63">
            <v>-3</v>
          </cell>
          <cell r="FN63" t="str">
            <v>0</v>
          </cell>
          <cell r="FO63" t="str">
            <v>1</v>
          </cell>
          <cell r="FP63">
            <v>1</v>
          </cell>
          <cell r="FQ63" t="str">
            <v>21</v>
          </cell>
        </row>
        <row r="64">
          <cell r="F64" t="str">
            <v>신정식</v>
          </cell>
          <cell r="CT64">
            <v>1</v>
          </cell>
          <cell r="CU64">
            <v>1</v>
          </cell>
          <cell r="CV64">
            <v>1</v>
          </cell>
          <cell r="CW64" t="str">
            <v>(2일)</v>
          </cell>
          <cell r="DY64">
            <v>3</v>
          </cell>
          <cell r="DZ64">
            <v>3</v>
          </cell>
          <cell r="FD64">
            <v>10</v>
          </cell>
          <cell r="FE64">
            <v>0</v>
          </cell>
          <cell r="FF64">
            <v>9</v>
          </cell>
          <cell r="FG64">
            <v>2</v>
          </cell>
          <cell r="FH64">
            <v>6</v>
          </cell>
          <cell r="FI64">
            <v>8</v>
          </cell>
          <cell r="FJ64">
            <v>25</v>
          </cell>
          <cell r="FK64">
            <v>17</v>
          </cell>
          <cell r="FL64">
            <v>16</v>
          </cell>
          <cell r="FM64">
            <v>1</v>
          </cell>
          <cell r="FN64" t="str">
            <v>1</v>
          </cell>
          <cell r="FO64" t="str">
            <v>1</v>
          </cell>
          <cell r="FP64">
            <v>2</v>
          </cell>
          <cell r="FQ64" t="str">
            <v>21</v>
          </cell>
        </row>
        <row r="65">
          <cell r="F65" t="str">
            <v>김낙현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 t="str">
            <v>(4일)</v>
          </cell>
          <cell r="CB65">
            <v>1</v>
          </cell>
          <cell r="CC65">
            <v>1</v>
          </cell>
          <cell r="CD65">
            <v>1</v>
          </cell>
          <cell r="CE65" t="str">
            <v>(2일)</v>
          </cell>
          <cell r="DH65">
            <v>3</v>
          </cell>
          <cell r="DI65">
            <v>3</v>
          </cell>
          <cell r="DJ65">
            <v>3</v>
          </cell>
          <cell r="EC65">
            <v>3</v>
          </cell>
          <cell r="ED65">
            <v>3</v>
          </cell>
          <cell r="FD65">
            <v>9</v>
          </cell>
          <cell r="FE65">
            <v>1</v>
          </cell>
          <cell r="FF65">
            <v>5</v>
          </cell>
          <cell r="FG65">
            <v>6</v>
          </cell>
          <cell r="FH65">
            <v>0</v>
          </cell>
          <cell r="FI65">
            <v>6</v>
          </cell>
          <cell r="FJ65">
            <v>23</v>
          </cell>
          <cell r="FK65">
            <v>17</v>
          </cell>
          <cell r="FL65">
            <v>16</v>
          </cell>
          <cell r="FM65">
            <v>1</v>
          </cell>
          <cell r="FN65" t="str">
            <v>1</v>
          </cell>
          <cell r="FO65" t="str">
            <v>0</v>
          </cell>
          <cell r="FP65">
            <v>1</v>
          </cell>
          <cell r="FQ65" t="str">
            <v>21</v>
          </cell>
        </row>
        <row r="66">
          <cell r="F66" t="str">
            <v>이장호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 t="str">
            <v>(4일)</v>
          </cell>
          <cell r="CT66">
            <v>1</v>
          </cell>
          <cell r="CU66">
            <v>1</v>
          </cell>
          <cell r="CV66">
            <v>1</v>
          </cell>
          <cell r="CW66" t="str">
            <v>(2일)</v>
          </cell>
          <cell r="DU66">
            <v>2</v>
          </cell>
          <cell r="EG66">
            <v>3</v>
          </cell>
          <cell r="EH66">
            <v>3</v>
          </cell>
          <cell r="FD66">
            <v>10</v>
          </cell>
          <cell r="FE66">
            <v>1</v>
          </cell>
          <cell r="FF66">
            <v>2</v>
          </cell>
          <cell r="FG66">
            <v>6</v>
          </cell>
          <cell r="FH66">
            <v>1</v>
          </cell>
          <cell r="FI66">
            <v>7</v>
          </cell>
          <cell r="FJ66">
            <v>23</v>
          </cell>
          <cell r="FK66">
            <v>16</v>
          </cell>
          <cell r="FL66">
            <v>16</v>
          </cell>
          <cell r="FM66">
            <v>0</v>
          </cell>
          <cell r="FN66" t="str">
            <v>0</v>
          </cell>
          <cell r="FO66" t="str">
            <v>0</v>
          </cell>
          <cell r="FP66">
            <v>0</v>
          </cell>
          <cell r="FQ66" t="str">
            <v>21</v>
          </cell>
        </row>
        <row r="67">
          <cell r="F67" t="str">
            <v>최명식</v>
          </cell>
          <cell r="CW67">
            <v>1</v>
          </cell>
          <cell r="CX67">
            <v>1</v>
          </cell>
          <cell r="CY67">
            <v>1</v>
          </cell>
          <cell r="CZ67" t="str">
            <v>(2일)</v>
          </cell>
          <cell r="DS67">
            <v>3</v>
          </cell>
          <cell r="DT67">
            <v>3</v>
          </cell>
          <cell r="DU67">
            <v>3</v>
          </cell>
          <cell r="EE67">
            <v>3</v>
          </cell>
          <cell r="EF67">
            <v>3</v>
          </cell>
          <cell r="FD67">
            <v>12</v>
          </cell>
          <cell r="FE67">
            <v>10</v>
          </cell>
          <cell r="FF67">
            <v>5</v>
          </cell>
          <cell r="FG67">
            <v>2</v>
          </cell>
          <cell r="FH67">
            <v>6</v>
          </cell>
          <cell r="FI67">
            <v>8</v>
          </cell>
          <cell r="FJ67">
            <v>24</v>
          </cell>
          <cell r="FK67">
            <v>16</v>
          </cell>
          <cell r="FL67">
            <v>16</v>
          </cell>
          <cell r="FM67">
            <v>0</v>
          </cell>
          <cell r="FN67" t="str">
            <v>0</v>
          </cell>
          <cell r="FO67" t="str">
            <v>0</v>
          </cell>
          <cell r="FP67">
            <v>0</v>
          </cell>
          <cell r="FQ67" t="str">
            <v>21</v>
          </cell>
        </row>
        <row r="68">
          <cell r="F68" t="str">
            <v>황세웅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 t="str">
            <v>(4일)</v>
          </cell>
          <cell r="BQ68">
            <v>1</v>
          </cell>
          <cell r="BR68">
            <v>1</v>
          </cell>
          <cell r="BS68" t="str">
            <v>(2일)</v>
          </cell>
          <cell r="CF68">
            <v>1</v>
          </cell>
          <cell r="CG68">
            <v>1</v>
          </cell>
          <cell r="CH68">
            <v>1</v>
          </cell>
          <cell r="CI68" t="str">
            <v>(1일)</v>
          </cell>
          <cell r="DZ68">
            <v>3</v>
          </cell>
          <cell r="EA68">
            <v>3</v>
          </cell>
          <cell r="FD68">
            <v>14</v>
          </cell>
          <cell r="FE68">
            <v>0</v>
          </cell>
          <cell r="FF68">
            <v>5</v>
          </cell>
          <cell r="FG68">
            <v>7</v>
          </cell>
          <cell r="FH68">
            <v>3</v>
          </cell>
          <cell r="FI68">
            <v>10</v>
          </cell>
          <cell r="FJ68">
            <v>24</v>
          </cell>
          <cell r="FK68">
            <v>14</v>
          </cell>
          <cell r="FL68">
            <v>16</v>
          </cell>
          <cell r="FM68">
            <v>-2</v>
          </cell>
          <cell r="FN68" t="str">
            <v>0</v>
          </cell>
          <cell r="FO68" t="str">
            <v>1</v>
          </cell>
          <cell r="FP68">
            <v>1</v>
          </cell>
          <cell r="FQ68" t="str">
            <v>21</v>
          </cell>
        </row>
        <row r="69">
          <cell r="F69" t="str">
            <v>김영익</v>
          </cell>
          <cell r="V69">
            <v>1</v>
          </cell>
          <cell r="W69" t="str">
            <v>(1일)</v>
          </cell>
          <cell r="BU69">
            <v>1</v>
          </cell>
          <cell r="BV69">
            <v>1</v>
          </cell>
          <cell r="BW69">
            <v>1</v>
          </cell>
          <cell r="BX69" t="str">
            <v>(1일)</v>
          </cell>
          <cell r="EC69">
            <v>3</v>
          </cell>
          <cell r="ED69">
            <v>3</v>
          </cell>
          <cell r="FD69">
            <v>8</v>
          </cell>
          <cell r="FE69">
            <v>0</v>
          </cell>
          <cell r="FF69">
            <v>2</v>
          </cell>
          <cell r="FG69">
            <v>2</v>
          </cell>
          <cell r="FH69">
            <v>3</v>
          </cell>
          <cell r="FI69">
            <v>5</v>
          </cell>
          <cell r="FJ69">
            <v>13</v>
          </cell>
          <cell r="FK69">
            <v>8</v>
          </cell>
          <cell r="FL69">
            <v>16</v>
          </cell>
          <cell r="FM69">
            <v>-8</v>
          </cell>
          <cell r="FN69" t="str">
            <v>0</v>
          </cell>
          <cell r="FO69" t="str">
            <v>1</v>
          </cell>
          <cell r="FP69">
            <v>1</v>
          </cell>
          <cell r="FQ69">
            <v>14</v>
          </cell>
        </row>
        <row r="70">
          <cell r="F70" t="str">
            <v>김학성</v>
          </cell>
          <cell r="CB70">
            <v>1</v>
          </cell>
          <cell r="CC70">
            <v>1</v>
          </cell>
          <cell r="CD70">
            <v>1</v>
          </cell>
          <cell r="CE70" t="str">
            <v>(2일)</v>
          </cell>
          <cell r="DV70">
            <v>3</v>
          </cell>
          <cell r="DW70">
            <v>3</v>
          </cell>
          <cell r="FD70">
            <v>11</v>
          </cell>
          <cell r="FE70">
            <v>0</v>
          </cell>
          <cell r="FF70">
            <v>3</v>
          </cell>
          <cell r="FG70">
            <v>2</v>
          </cell>
          <cell r="FH70">
            <v>6</v>
          </cell>
          <cell r="FI70">
            <v>8</v>
          </cell>
          <cell r="FJ70">
            <v>20</v>
          </cell>
          <cell r="FK70">
            <v>12</v>
          </cell>
          <cell r="FL70">
            <v>16</v>
          </cell>
          <cell r="FM70">
            <v>-4</v>
          </cell>
          <cell r="FN70" t="str">
            <v>0</v>
          </cell>
          <cell r="FO70" t="str">
            <v>1</v>
          </cell>
          <cell r="FP70">
            <v>1</v>
          </cell>
          <cell r="FQ70">
            <v>21</v>
          </cell>
        </row>
        <row r="71">
          <cell r="F71" t="str">
            <v>김형완</v>
          </cell>
          <cell r="BY71">
            <v>1</v>
          </cell>
          <cell r="BZ71">
            <v>1</v>
          </cell>
          <cell r="CA71">
            <v>1</v>
          </cell>
          <cell r="CB71" t="str">
            <v>(2일)</v>
          </cell>
          <cell r="DV71">
            <v>3</v>
          </cell>
          <cell r="DW71">
            <v>3</v>
          </cell>
          <cell r="FD71">
            <v>7</v>
          </cell>
          <cell r="FE71">
            <v>0</v>
          </cell>
          <cell r="FF71">
            <v>2</v>
          </cell>
          <cell r="FG71">
            <v>2</v>
          </cell>
          <cell r="FH71">
            <v>3</v>
          </cell>
          <cell r="FI71">
            <v>5</v>
          </cell>
          <cell r="FJ71">
            <v>16</v>
          </cell>
          <cell r="FK71">
            <v>11</v>
          </cell>
          <cell r="FL71">
            <v>16</v>
          </cell>
          <cell r="FM71">
            <v>-5</v>
          </cell>
          <cell r="FN71" t="str">
            <v>0</v>
          </cell>
          <cell r="FO71" t="str">
            <v>1</v>
          </cell>
          <cell r="FP71">
            <v>1</v>
          </cell>
          <cell r="FQ71">
            <v>17</v>
          </cell>
        </row>
        <row r="72">
          <cell r="F72" t="str">
            <v>최성봉</v>
          </cell>
          <cell r="CI72">
            <v>1</v>
          </cell>
          <cell r="CJ72">
            <v>1</v>
          </cell>
          <cell r="CK72">
            <v>1</v>
          </cell>
          <cell r="CL72" t="str">
            <v>(3일)</v>
          </cell>
          <cell r="DX72">
            <v>3</v>
          </cell>
          <cell r="DY72">
            <v>3</v>
          </cell>
          <cell r="FD72">
            <v>9</v>
          </cell>
          <cell r="FE72">
            <v>0</v>
          </cell>
          <cell r="FF72">
            <v>2</v>
          </cell>
          <cell r="FG72">
            <v>3</v>
          </cell>
          <cell r="FH72">
            <v>5</v>
          </cell>
          <cell r="FI72">
            <v>8</v>
          </cell>
          <cell r="FJ72">
            <v>16</v>
          </cell>
          <cell r="FK72">
            <v>8</v>
          </cell>
          <cell r="FL72">
            <v>16</v>
          </cell>
          <cell r="FM72">
            <v>-8</v>
          </cell>
          <cell r="FN72" t="str">
            <v>0</v>
          </cell>
          <cell r="FO72" t="str">
            <v>1</v>
          </cell>
          <cell r="FP72">
            <v>1</v>
          </cell>
          <cell r="FQ72">
            <v>17</v>
          </cell>
        </row>
        <row r="73">
          <cell r="F73" t="str">
            <v>권경효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 t="str">
            <v>(4일)</v>
          </cell>
          <cell r="BR73">
            <v>2</v>
          </cell>
          <cell r="CM73">
            <v>1</v>
          </cell>
          <cell r="CN73">
            <v>1</v>
          </cell>
          <cell r="CO73">
            <v>1</v>
          </cell>
          <cell r="CP73" t="str">
            <v>(3일)</v>
          </cell>
          <cell r="DX73">
            <v>3</v>
          </cell>
          <cell r="DY73">
            <v>3</v>
          </cell>
          <cell r="FD73">
            <v>12</v>
          </cell>
          <cell r="FE73">
            <v>1</v>
          </cell>
          <cell r="FF73">
            <v>13</v>
          </cell>
          <cell r="FG73">
            <v>7</v>
          </cell>
          <cell r="FH73">
            <v>3</v>
          </cell>
          <cell r="FI73">
            <v>10</v>
          </cell>
          <cell r="FJ73">
            <v>23</v>
          </cell>
          <cell r="FK73">
            <v>13</v>
          </cell>
          <cell r="FL73">
            <v>16</v>
          </cell>
          <cell r="FM73">
            <v>-3</v>
          </cell>
          <cell r="FN73" t="str">
            <v>0</v>
          </cell>
          <cell r="FO73" t="str">
            <v>0</v>
          </cell>
          <cell r="FP73">
            <v>0</v>
          </cell>
          <cell r="FQ73" t="str">
            <v>21</v>
          </cell>
        </row>
        <row r="74">
          <cell r="F74" t="str">
            <v>김언석</v>
          </cell>
          <cell r="CS74">
            <v>1</v>
          </cell>
          <cell r="CT74" t="str">
            <v>(1일)</v>
          </cell>
          <cell r="CV74" t="str">
            <v xml:space="preserve"> </v>
          </cell>
          <cell r="DV74">
            <v>3</v>
          </cell>
          <cell r="DW74">
            <v>3</v>
          </cell>
          <cell r="FD74">
            <v>12</v>
          </cell>
          <cell r="FE74">
            <v>0</v>
          </cell>
          <cell r="FF74">
            <v>10</v>
          </cell>
          <cell r="FG74">
            <v>1</v>
          </cell>
          <cell r="FH74">
            <v>7</v>
          </cell>
          <cell r="FI74">
            <v>8</v>
          </cell>
          <cell r="FJ74">
            <v>25</v>
          </cell>
          <cell r="FK74">
            <v>17</v>
          </cell>
          <cell r="FL74">
            <v>16</v>
          </cell>
          <cell r="FM74">
            <v>1</v>
          </cell>
          <cell r="FN74" t="str">
            <v>1</v>
          </cell>
          <cell r="FO74" t="str">
            <v>1</v>
          </cell>
          <cell r="FP74">
            <v>2</v>
          </cell>
          <cell r="FQ74" t="str">
            <v>21</v>
          </cell>
        </row>
        <row r="75">
          <cell r="F75" t="str">
            <v>김영택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 t="str">
            <v>(4일)</v>
          </cell>
          <cell r="CB75">
            <v>1</v>
          </cell>
          <cell r="CC75">
            <v>1</v>
          </cell>
          <cell r="CD75">
            <v>1</v>
          </cell>
          <cell r="CE75" t="str">
            <v>(2일)</v>
          </cell>
          <cell r="DZ75">
            <v>3</v>
          </cell>
          <cell r="EA75">
            <v>3</v>
          </cell>
          <cell r="EI75">
            <v>1</v>
          </cell>
          <cell r="EJ75" t="str">
            <v>(1일)</v>
          </cell>
          <cell r="FD75">
            <v>15</v>
          </cell>
          <cell r="FE75">
            <v>0</v>
          </cell>
          <cell r="FF75">
            <v>10</v>
          </cell>
          <cell r="FG75">
            <v>7</v>
          </cell>
          <cell r="FH75">
            <v>4</v>
          </cell>
          <cell r="FI75">
            <v>11</v>
          </cell>
          <cell r="FJ75">
            <v>24</v>
          </cell>
          <cell r="FK75">
            <v>13</v>
          </cell>
          <cell r="FL75">
            <v>16</v>
          </cell>
          <cell r="FM75">
            <v>-3</v>
          </cell>
          <cell r="FN75" t="str">
            <v>0</v>
          </cell>
          <cell r="FO75" t="str">
            <v>1</v>
          </cell>
          <cell r="FP75">
            <v>1</v>
          </cell>
          <cell r="FQ75" t="str">
            <v>21</v>
          </cell>
        </row>
        <row r="76">
          <cell r="F76" t="str">
            <v>김중희</v>
          </cell>
          <cell r="AC76">
            <v>2</v>
          </cell>
          <cell r="CW76">
            <v>1</v>
          </cell>
          <cell r="CX76">
            <v>1</v>
          </cell>
          <cell r="CY76">
            <v>1</v>
          </cell>
          <cell r="CZ76" t="str">
            <v>(2일)</v>
          </cell>
          <cell r="DS76">
            <v>3</v>
          </cell>
          <cell r="DT76">
            <v>3</v>
          </cell>
          <cell r="FD76">
            <v>10</v>
          </cell>
          <cell r="FE76">
            <v>3</v>
          </cell>
          <cell r="FF76">
            <v>2</v>
          </cell>
          <cell r="FG76">
            <v>2</v>
          </cell>
          <cell r="FH76">
            <v>6</v>
          </cell>
          <cell r="FI76">
            <v>8</v>
          </cell>
          <cell r="FJ76">
            <v>23</v>
          </cell>
          <cell r="FK76">
            <v>15</v>
          </cell>
          <cell r="FL76">
            <v>16</v>
          </cell>
          <cell r="FM76">
            <v>-1</v>
          </cell>
          <cell r="FN76" t="str">
            <v>0</v>
          </cell>
          <cell r="FO76" t="str">
            <v>0</v>
          </cell>
          <cell r="FP76">
            <v>0</v>
          </cell>
          <cell r="FQ76" t="str">
            <v>21</v>
          </cell>
        </row>
        <row r="77">
          <cell r="F77" t="str">
            <v>이홍식</v>
          </cell>
          <cell r="N77">
            <v>1</v>
          </cell>
          <cell r="O77" t="str">
            <v>(1일)</v>
          </cell>
          <cell r="AO77">
            <v>1</v>
          </cell>
          <cell r="AP77" t="str">
            <v>(1일)</v>
          </cell>
          <cell r="BI77">
            <v>2</v>
          </cell>
          <cell r="BR77">
            <v>1</v>
          </cell>
          <cell r="BS77" t="str">
            <v>(1일)</v>
          </cell>
          <cell r="CA77">
            <v>2</v>
          </cell>
          <cell r="CZ77">
            <v>1</v>
          </cell>
          <cell r="DA77" t="str">
            <v>(1일)</v>
          </cell>
          <cell r="DO77">
            <v>3</v>
          </cell>
          <cell r="DP77">
            <v>3</v>
          </cell>
          <cell r="EL77">
            <v>3</v>
          </cell>
          <cell r="EM77">
            <v>3</v>
          </cell>
          <cell r="EN77">
            <v>3</v>
          </cell>
          <cell r="EO77">
            <v>3</v>
          </cell>
          <cell r="EP77">
            <v>3</v>
          </cell>
          <cell r="EQ77">
            <v>3</v>
          </cell>
          <cell r="ER77">
            <v>3</v>
          </cell>
          <cell r="ES77">
            <v>3</v>
          </cell>
          <cell r="ET77">
            <v>3</v>
          </cell>
          <cell r="EU77">
            <v>3</v>
          </cell>
          <cell r="EV77">
            <v>3</v>
          </cell>
          <cell r="EW77">
            <v>3</v>
          </cell>
          <cell r="EX77">
            <v>3</v>
          </cell>
          <cell r="EY77">
            <v>3</v>
          </cell>
          <cell r="EZ77">
            <v>3</v>
          </cell>
          <cell r="FA77">
            <v>3</v>
          </cell>
          <cell r="FB77">
            <v>3</v>
          </cell>
          <cell r="FC77">
            <v>3</v>
          </cell>
          <cell r="FD77">
            <v>6</v>
          </cell>
          <cell r="FE77">
            <v>7</v>
          </cell>
          <cell r="FF77">
            <v>20</v>
          </cell>
          <cell r="FG77">
            <v>4</v>
          </cell>
          <cell r="FH77">
            <v>2</v>
          </cell>
          <cell r="FI77">
            <v>6</v>
          </cell>
          <cell r="FJ77">
            <v>23</v>
          </cell>
          <cell r="FK77">
            <v>17</v>
          </cell>
          <cell r="FL77">
            <v>16</v>
          </cell>
          <cell r="FM77">
            <v>1</v>
          </cell>
          <cell r="FN77" t="str">
            <v>1</v>
          </cell>
          <cell r="FO77" t="str">
            <v>0</v>
          </cell>
          <cell r="FP77">
            <v>1</v>
          </cell>
          <cell r="FQ77" t="str">
            <v>21</v>
          </cell>
        </row>
        <row r="78">
          <cell r="F78" t="str">
            <v>신봉철</v>
          </cell>
          <cell r="AM78">
            <v>1</v>
          </cell>
          <cell r="AN78" t="str">
            <v>(1일)</v>
          </cell>
          <cell r="CJ78">
            <v>1</v>
          </cell>
          <cell r="CK78" t="str">
            <v>(1일)</v>
          </cell>
          <cell r="EG78">
            <v>3</v>
          </cell>
          <cell r="EH78">
            <v>3</v>
          </cell>
          <cell r="EL78">
            <v>1</v>
          </cell>
          <cell r="EM78" t="str">
            <v>(1일)</v>
          </cell>
          <cell r="FD78">
            <v>6</v>
          </cell>
          <cell r="FE78">
            <v>18</v>
          </cell>
          <cell r="FF78">
            <v>2</v>
          </cell>
          <cell r="FG78">
            <v>3</v>
          </cell>
          <cell r="FH78">
            <v>3</v>
          </cell>
          <cell r="FI78">
            <v>6</v>
          </cell>
          <cell r="FJ78">
            <v>25</v>
          </cell>
          <cell r="FK78">
            <v>19</v>
          </cell>
          <cell r="FL78">
            <v>16</v>
          </cell>
          <cell r="FM78">
            <v>3</v>
          </cell>
          <cell r="FN78" t="str">
            <v>1</v>
          </cell>
          <cell r="FO78" t="str">
            <v>0</v>
          </cell>
          <cell r="FP78">
            <v>1</v>
          </cell>
          <cell r="FQ78" t="str">
            <v>21</v>
          </cell>
        </row>
        <row r="79">
          <cell r="F79" t="str">
            <v>배권택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1</v>
          </cell>
          <cell r="L79" t="str">
            <v>(4일)</v>
          </cell>
          <cell r="CH79">
            <v>1</v>
          </cell>
          <cell r="CI79" t="str">
            <v>(1일)</v>
          </cell>
          <cell r="EE79">
            <v>3</v>
          </cell>
          <cell r="EF79">
            <v>3</v>
          </cell>
          <cell r="EO79">
            <v>2</v>
          </cell>
          <cell r="FD79">
            <v>9</v>
          </cell>
          <cell r="FE79">
            <v>2</v>
          </cell>
          <cell r="FF79">
            <v>2</v>
          </cell>
          <cell r="FG79">
            <v>5</v>
          </cell>
          <cell r="FH79">
            <v>1</v>
          </cell>
          <cell r="FI79">
            <v>6</v>
          </cell>
          <cell r="FJ79">
            <v>23</v>
          </cell>
          <cell r="FK79">
            <v>17</v>
          </cell>
          <cell r="FL79">
            <v>16</v>
          </cell>
          <cell r="FM79">
            <v>1</v>
          </cell>
          <cell r="FN79" t="str">
            <v>1</v>
          </cell>
          <cell r="FO79" t="str">
            <v>0</v>
          </cell>
          <cell r="FP79">
            <v>1</v>
          </cell>
          <cell r="FQ79" t="str">
            <v>21</v>
          </cell>
        </row>
        <row r="80">
          <cell r="F80" t="str">
            <v>이영구</v>
          </cell>
          <cell r="CM80">
            <v>1</v>
          </cell>
          <cell r="CN80">
            <v>1</v>
          </cell>
          <cell r="CO80">
            <v>1</v>
          </cell>
          <cell r="CP80" t="str">
            <v>(3일)</v>
          </cell>
          <cell r="DP80">
            <v>3</v>
          </cell>
          <cell r="DQ80">
            <v>3</v>
          </cell>
          <cell r="EC80">
            <v>3</v>
          </cell>
          <cell r="ED80">
            <v>3</v>
          </cell>
          <cell r="EJ80">
            <v>1</v>
          </cell>
          <cell r="EK80" t="str">
            <v>(1일)</v>
          </cell>
          <cell r="FD80">
            <v>5</v>
          </cell>
          <cell r="FE80">
            <v>0</v>
          </cell>
          <cell r="FF80">
            <v>7</v>
          </cell>
          <cell r="FG80">
            <v>4</v>
          </cell>
          <cell r="FH80">
            <v>0.5</v>
          </cell>
          <cell r="FI80">
            <v>4.5</v>
          </cell>
          <cell r="FJ80">
            <v>24</v>
          </cell>
          <cell r="FK80">
            <v>19.5</v>
          </cell>
          <cell r="FL80">
            <v>16</v>
          </cell>
          <cell r="FM80">
            <v>3.5</v>
          </cell>
          <cell r="FN80" t="str">
            <v>1</v>
          </cell>
          <cell r="FO80" t="str">
            <v>1</v>
          </cell>
          <cell r="FP80">
            <v>2</v>
          </cell>
          <cell r="FQ80" t="str">
            <v>21</v>
          </cell>
        </row>
        <row r="81">
          <cell r="F81" t="str">
            <v>김중식</v>
          </cell>
          <cell r="G81">
            <v>1</v>
          </cell>
          <cell r="H81">
            <v>1</v>
          </cell>
          <cell r="I81">
            <v>1</v>
          </cell>
          <cell r="J81">
            <v>1</v>
          </cell>
          <cell r="K81">
            <v>1</v>
          </cell>
          <cell r="L81">
            <v>1</v>
          </cell>
          <cell r="M81" t="str">
            <v>(5일)</v>
          </cell>
          <cell r="CX81">
            <v>1</v>
          </cell>
          <cell r="CY81">
            <v>1</v>
          </cell>
          <cell r="CZ81">
            <v>1</v>
          </cell>
          <cell r="DA81" t="str">
            <v>(2일)</v>
          </cell>
          <cell r="EG81">
            <v>3</v>
          </cell>
          <cell r="EH81">
            <v>3</v>
          </cell>
          <cell r="FD81">
            <v>14</v>
          </cell>
          <cell r="FE81">
            <v>0</v>
          </cell>
          <cell r="FF81">
            <v>2</v>
          </cell>
          <cell r="FG81">
            <v>7</v>
          </cell>
          <cell r="FH81">
            <v>5</v>
          </cell>
          <cell r="FI81">
            <v>12</v>
          </cell>
          <cell r="FJ81">
            <v>24</v>
          </cell>
          <cell r="FK81">
            <v>12</v>
          </cell>
          <cell r="FL81">
            <v>16</v>
          </cell>
          <cell r="FM81">
            <v>-4</v>
          </cell>
          <cell r="FN81" t="str">
            <v>0</v>
          </cell>
          <cell r="FO81" t="str">
            <v>1</v>
          </cell>
          <cell r="FP81">
            <v>1</v>
          </cell>
          <cell r="FQ81" t="str">
            <v>21</v>
          </cell>
        </row>
        <row r="82">
          <cell r="F82" t="str">
            <v>정대훈</v>
          </cell>
          <cell r="CW82">
            <v>1</v>
          </cell>
          <cell r="CX82">
            <v>1</v>
          </cell>
          <cell r="CY82">
            <v>1</v>
          </cell>
          <cell r="CZ82" t="str">
            <v>(2일)</v>
          </cell>
          <cell r="DQ82">
            <v>3</v>
          </cell>
          <cell r="DR82">
            <v>3</v>
          </cell>
          <cell r="EB82">
            <v>3</v>
          </cell>
          <cell r="EC82">
            <v>3</v>
          </cell>
          <cell r="ED82">
            <v>3</v>
          </cell>
          <cell r="EE82">
            <v>3</v>
          </cell>
          <cell r="EF82">
            <v>3</v>
          </cell>
          <cell r="EG82">
            <v>3</v>
          </cell>
          <cell r="EH82">
            <v>3</v>
          </cell>
          <cell r="FD82">
            <v>12</v>
          </cell>
          <cell r="FE82">
            <v>0</v>
          </cell>
          <cell r="FF82">
            <v>9</v>
          </cell>
          <cell r="FG82">
            <v>2</v>
          </cell>
          <cell r="FH82">
            <v>6</v>
          </cell>
          <cell r="FI82">
            <v>8</v>
          </cell>
          <cell r="FJ82">
            <v>25</v>
          </cell>
          <cell r="FK82">
            <v>17</v>
          </cell>
          <cell r="FL82">
            <v>16</v>
          </cell>
          <cell r="FM82">
            <v>1</v>
          </cell>
          <cell r="FN82" t="str">
            <v>1</v>
          </cell>
          <cell r="FO82" t="str">
            <v>1</v>
          </cell>
          <cell r="FP82">
            <v>2</v>
          </cell>
          <cell r="FQ82" t="str">
            <v>21</v>
          </cell>
        </row>
        <row r="83">
          <cell r="F83" t="str">
            <v>변필순</v>
          </cell>
          <cell r="FD83">
            <v>0</v>
          </cell>
          <cell r="FE83">
            <v>0</v>
          </cell>
          <cell r="FF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16</v>
          </cell>
          <cell r="FM83">
            <v>-16</v>
          </cell>
          <cell r="FN83" t="str">
            <v>0</v>
          </cell>
          <cell r="FO83" t="str">
            <v>1</v>
          </cell>
          <cell r="FP83">
            <v>1</v>
          </cell>
          <cell r="FQ83">
            <v>1</v>
          </cell>
        </row>
        <row r="84">
          <cell r="F84" t="str">
            <v>김양종</v>
          </cell>
          <cell r="AH84">
            <v>1</v>
          </cell>
          <cell r="AI84" t="str">
            <v>(1일)</v>
          </cell>
          <cell r="BU84">
            <v>1</v>
          </cell>
          <cell r="BV84">
            <v>1</v>
          </cell>
          <cell r="BW84">
            <v>1</v>
          </cell>
          <cell r="BX84" t="str">
            <v>(3일)</v>
          </cell>
          <cell r="CQ84">
            <v>2</v>
          </cell>
          <cell r="DZ84">
            <v>3</v>
          </cell>
          <cell r="EA84">
            <v>3</v>
          </cell>
          <cell r="FD84">
            <v>4</v>
          </cell>
          <cell r="FE84">
            <v>4</v>
          </cell>
          <cell r="FF84">
            <v>9</v>
          </cell>
          <cell r="FG84">
            <v>4</v>
          </cell>
          <cell r="FH84">
            <v>0</v>
          </cell>
          <cell r="FI84">
            <v>4</v>
          </cell>
          <cell r="FJ84">
            <v>25</v>
          </cell>
          <cell r="FK84">
            <v>21</v>
          </cell>
          <cell r="FL84">
            <v>16</v>
          </cell>
          <cell r="FM84">
            <v>5</v>
          </cell>
          <cell r="FN84" t="str">
            <v>1</v>
          </cell>
          <cell r="FO84" t="str">
            <v>0</v>
          </cell>
          <cell r="FP84">
            <v>1</v>
          </cell>
          <cell r="FQ84" t="str">
            <v>21</v>
          </cell>
        </row>
        <row r="85">
          <cell r="F85" t="str">
            <v>서재웅</v>
          </cell>
          <cell r="CJ85">
            <v>1</v>
          </cell>
          <cell r="CK85" t="str">
            <v>(1일)</v>
          </cell>
          <cell r="DZ85">
            <v>3</v>
          </cell>
          <cell r="EA85">
            <v>3</v>
          </cell>
          <cell r="FD85">
            <v>7</v>
          </cell>
          <cell r="FE85">
            <v>0</v>
          </cell>
          <cell r="FF85">
            <v>9</v>
          </cell>
          <cell r="FG85">
            <v>1</v>
          </cell>
          <cell r="FH85">
            <v>5</v>
          </cell>
          <cell r="FI85">
            <v>6</v>
          </cell>
          <cell r="FJ85">
            <v>16</v>
          </cell>
          <cell r="FK85">
            <v>10</v>
          </cell>
          <cell r="FL85">
            <v>16</v>
          </cell>
          <cell r="FM85">
            <v>-6</v>
          </cell>
          <cell r="FN85" t="str">
            <v>0</v>
          </cell>
          <cell r="FO85" t="str">
            <v>1</v>
          </cell>
          <cell r="FP85">
            <v>1</v>
          </cell>
          <cell r="FQ85">
            <v>17</v>
          </cell>
        </row>
        <row r="86">
          <cell r="F86" t="str">
            <v>신상영</v>
          </cell>
          <cell r="EC86">
            <v>3</v>
          </cell>
          <cell r="ED86">
            <v>3</v>
          </cell>
          <cell r="EW86">
            <v>1</v>
          </cell>
          <cell r="EX86" t="str">
            <v>(1일)</v>
          </cell>
          <cell r="FD86">
            <v>1</v>
          </cell>
          <cell r="FE86">
            <v>0</v>
          </cell>
          <cell r="FF86">
            <v>2</v>
          </cell>
          <cell r="FG86">
            <v>1</v>
          </cell>
          <cell r="FH86">
            <v>0</v>
          </cell>
          <cell r="FI86">
            <v>1</v>
          </cell>
          <cell r="FJ86">
            <v>16</v>
          </cell>
          <cell r="FK86">
            <v>15</v>
          </cell>
          <cell r="FL86">
            <v>16</v>
          </cell>
          <cell r="FM86">
            <v>-1</v>
          </cell>
          <cell r="FN86" t="str">
            <v>0</v>
          </cell>
          <cell r="FO86" t="str">
            <v>1</v>
          </cell>
          <cell r="FP86">
            <v>1</v>
          </cell>
          <cell r="FQ86">
            <v>17</v>
          </cell>
        </row>
        <row r="87">
          <cell r="F87" t="str">
            <v>박형선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  <cell r="Y87">
            <v>1</v>
          </cell>
          <cell r="Z87" t="str">
            <v>(3일)</v>
          </cell>
          <cell r="CX87">
            <v>1</v>
          </cell>
          <cell r="CY87" t="str">
            <v>(1일)</v>
          </cell>
          <cell r="CZ87">
            <v>3</v>
          </cell>
          <cell r="DX87">
            <v>3</v>
          </cell>
          <cell r="DY87">
            <v>3</v>
          </cell>
          <cell r="EF87">
            <v>2</v>
          </cell>
          <cell r="FD87">
            <v>8</v>
          </cell>
          <cell r="FE87">
            <v>2</v>
          </cell>
          <cell r="FF87">
            <v>3</v>
          </cell>
          <cell r="FG87">
            <v>4</v>
          </cell>
          <cell r="FH87">
            <v>2</v>
          </cell>
          <cell r="FI87">
            <v>6</v>
          </cell>
          <cell r="FJ87">
            <v>16</v>
          </cell>
          <cell r="FK87">
            <v>10</v>
          </cell>
          <cell r="FL87">
            <v>16</v>
          </cell>
          <cell r="FM87">
            <v>-6</v>
          </cell>
          <cell r="FN87" t="str">
            <v>0</v>
          </cell>
          <cell r="FO87" t="str">
            <v>0</v>
          </cell>
          <cell r="FP87">
            <v>0</v>
          </cell>
          <cell r="FQ87">
            <v>16</v>
          </cell>
        </row>
        <row r="88">
          <cell r="F88" t="str">
            <v>김도균</v>
          </cell>
          <cell r="BP88">
            <v>3</v>
          </cell>
          <cell r="CJ88">
            <v>1</v>
          </cell>
          <cell r="CK88" t="str">
            <v>(1일)</v>
          </cell>
          <cell r="DT88">
            <v>3</v>
          </cell>
          <cell r="DU88">
            <v>3</v>
          </cell>
          <cell r="EA88">
            <v>2</v>
          </cell>
          <cell r="EE88">
            <v>3</v>
          </cell>
          <cell r="EF88">
            <v>3</v>
          </cell>
          <cell r="FD88">
            <v>4</v>
          </cell>
          <cell r="FE88">
            <v>1</v>
          </cell>
          <cell r="FF88">
            <v>5</v>
          </cell>
          <cell r="FG88">
            <v>1</v>
          </cell>
          <cell r="FH88">
            <v>0</v>
          </cell>
          <cell r="FI88">
            <v>1</v>
          </cell>
          <cell r="FJ88">
            <v>7</v>
          </cell>
          <cell r="FK88">
            <v>6</v>
          </cell>
          <cell r="FL88">
            <v>16</v>
          </cell>
          <cell r="FM88">
            <v>-10</v>
          </cell>
          <cell r="FN88" t="str">
            <v>0</v>
          </cell>
          <cell r="FO88" t="str">
            <v>0</v>
          </cell>
          <cell r="FP88">
            <v>0</v>
          </cell>
          <cell r="FQ88">
            <v>7</v>
          </cell>
        </row>
        <row r="89">
          <cell r="F89" t="str">
            <v>권철주</v>
          </cell>
          <cell r="O89">
            <v>1</v>
          </cell>
          <cell r="P89" t="str">
            <v>(1일)</v>
          </cell>
          <cell r="DQ89">
            <v>1</v>
          </cell>
          <cell r="DR89">
            <v>1</v>
          </cell>
          <cell r="DS89">
            <v>1</v>
          </cell>
          <cell r="DT89">
            <v>1</v>
          </cell>
          <cell r="DU89" t="str">
            <v>(3일)</v>
          </cell>
          <cell r="EE89">
            <v>3</v>
          </cell>
          <cell r="EF89">
            <v>3</v>
          </cell>
          <cell r="FD89">
            <v>12</v>
          </cell>
          <cell r="FE89">
            <v>0</v>
          </cell>
          <cell r="FF89">
            <v>6</v>
          </cell>
          <cell r="FG89">
            <v>4</v>
          </cell>
          <cell r="FH89">
            <v>7</v>
          </cell>
          <cell r="FI89">
            <v>11</v>
          </cell>
          <cell r="FJ89">
            <v>23</v>
          </cell>
          <cell r="FK89">
            <v>12</v>
          </cell>
          <cell r="FL89">
            <v>16</v>
          </cell>
          <cell r="FM89">
            <v>-4</v>
          </cell>
          <cell r="FN89" t="str">
            <v>0</v>
          </cell>
          <cell r="FO89" t="str">
            <v>1</v>
          </cell>
          <cell r="FP89">
            <v>1</v>
          </cell>
          <cell r="FQ89" t="str">
            <v>21</v>
          </cell>
        </row>
        <row r="90">
          <cell r="F90" t="str">
            <v>김대중</v>
          </cell>
          <cell r="CM90">
            <v>1</v>
          </cell>
          <cell r="CN90">
            <v>1</v>
          </cell>
          <cell r="CO90">
            <v>1</v>
          </cell>
          <cell r="CP90" t="str">
            <v>(2일)</v>
          </cell>
          <cell r="DX90">
            <v>3</v>
          </cell>
          <cell r="DY90">
            <v>3</v>
          </cell>
          <cell r="EM90">
            <v>1</v>
          </cell>
          <cell r="EN90" t="str">
            <v>(1일)</v>
          </cell>
          <cell r="FD90">
            <v>10</v>
          </cell>
          <cell r="FE90">
            <v>6</v>
          </cell>
          <cell r="FF90">
            <v>2</v>
          </cell>
          <cell r="FG90">
            <v>3</v>
          </cell>
          <cell r="FH90">
            <v>5</v>
          </cell>
          <cell r="FI90">
            <v>8</v>
          </cell>
          <cell r="FJ90">
            <v>24</v>
          </cell>
          <cell r="FK90">
            <v>16</v>
          </cell>
          <cell r="FL90">
            <v>16</v>
          </cell>
          <cell r="FM90">
            <v>0</v>
          </cell>
          <cell r="FN90" t="str">
            <v>0</v>
          </cell>
          <cell r="FO90" t="str">
            <v>0</v>
          </cell>
          <cell r="FP90">
            <v>0</v>
          </cell>
          <cell r="FQ90" t="str">
            <v>21</v>
          </cell>
        </row>
        <row r="91">
          <cell r="F91" t="str">
            <v>김용대</v>
          </cell>
          <cell r="AE91">
            <v>3</v>
          </cell>
          <cell r="BY91">
            <v>1</v>
          </cell>
          <cell r="BZ91">
            <v>1</v>
          </cell>
          <cell r="CA91">
            <v>1</v>
          </cell>
          <cell r="CB91" t="str">
            <v>(2일)</v>
          </cell>
          <cell r="DX91">
            <v>3</v>
          </cell>
          <cell r="DY91">
            <v>3</v>
          </cell>
          <cell r="FD91">
            <v>8</v>
          </cell>
          <cell r="FE91">
            <v>0</v>
          </cell>
          <cell r="FF91">
            <v>3</v>
          </cell>
          <cell r="FG91">
            <v>2</v>
          </cell>
          <cell r="FH91">
            <v>5</v>
          </cell>
          <cell r="FI91">
            <v>7</v>
          </cell>
          <cell r="FJ91">
            <v>25</v>
          </cell>
          <cell r="FK91">
            <v>18</v>
          </cell>
          <cell r="FL91">
            <v>16</v>
          </cell>
          <cell r="FM91">
            <v>2</v>
          </cell>
          <cell r="FN91" t="str">
            <v>1</v>
          </cell>
          <cell r="FO91" t="str">
            <v>1</v>
          </cell>
          <cell r="FP91">
            <v>2</v>
          </cell>
          <cell r="FQ91" t="str">
            <v>21</v>
          </cell>
        </row>
        <row r="92">
          <cell r="F92" t="str">
            <v>유가상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 t="str">
            <v>(4일)</v>
          </cell>
          <cell r="CM92">
            <v>1</v>
          </cell>
          <cell r="CN92">
            <v>1</v>
          </cell>
          <cell r="CO92">
            <v>1</v>
          </cell>
          <cell r="CP92" t="str">
            <v>(2일)</v>
          </cell>
          <cell r="EC92">
            <v>3</v>
          </cell>
          <cell r="ED92">
            <v>3</v>
          </cell>
          <cell r="ER92">
            <v>1</v>
          </cell>
          <cell r="ES92" t="str">
            <v>(1일)</v>
          </cell>
          <cell r="FD92">
            <v>9</v>
          </cell>
          <cell r="FE92">
            <v>1</v>
          </cell>
          <cell r="FF92">
            <v>15</v>
          </cell>
          <cell r="FG92">
            <v>7</v>
          </cell>
          <cell r="FH92">
            <v>0</v>
          </cell>
          <cell r="FI92">
            <v>7</v>
          </cell>
          <cell r="FJ92">
            <v>23</v>
          </cell>
          <cell r="FK92">
            <v>16</v>
          </cell>
          <cell r="FL92">
            <v>16</v>
          </cell>
          <cell r="FM92">
            <v>0</v>
          </cell>
          <cell r="FN92" t="str">
            <v>0</v>
          </cell>
          <cell r="FO92" t="str">
            <v>0</v>
          </cell>
          <cell r="FP92">
            <v>0</v>
          </cell>
          <cell r="FQ92" t="str">
            <v>21</v>
          </cell>
        </row>
        <row r="93">
          <cell r="F93" t="str">
            <v>윤종인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 t="str">
            <v>(4일)</v>
          </cell>
          <cell r="AO93">
            <v>2</v>
          </cell>
          <cell r="AR93">
            <v>1</v>
          </cell>
          <cell r="AS93">
            <v>1</v>
          </cell>
          <cell r="AT93">
            <v>1</v>
          </cell>
          <cell r="AU93" t="str">
            <v>(2일)</v>
          </cell>
          <cell r="BC93">
            <v>2</v>
          </cell>
          <cell r="BG93">
            <v>1</v>
          </cell>
          <cell r="BH93">
            <v>1</v>
          </cell>
          <cell r="BI93">
            <v>1</v>
          </cell>
          <cell r="BJ93">
            <v>1</v>
          </cell>
          <cell r="BK93" t="str">
            <v>(3일)</v>
          </cell>
          <cell r="BP93">
            <v>3</v>
          </cell>
          <cell r="BQ93">
            <v>3</v>
          </cell>
          <cell r="BR93">
            <v>3</v>
          </cell>
          <cell r="BS93">
            <v>3</v>
          </cell>
          <cell r="BT93">
            <v>3</v>
          </cell>
          <cell r="BU93">
            <v>3</v>
          </cell>
          <cell r="BV93">
            <v>3</v>
          </cell>
          <cell r="BW93">
            <v>3</v>
          </cell>
          <cell r="BX93">
            <v>3</v>
          </cell>
          <cell r="BY93">
            <v>3</v>
          </cell>
          <cell r="BZ93">
            <v>3</v>
          </cell>
          <cell r="CA93">
            <v>3</v>
          </cell>
          <cell r="CB93">
            <v>3</v>
          </cell>
          <cell r="CC93">
            <v>3</v>
          </cell>
          <cell r="CD93">
            <v>3</v>
          </cell>
          <cell r="CE93">
            <v>3</v>
          </cell>
          <cell r="CF93">
            <v>3</v>
          </cell>
          <cell r="CG93">
            <v>3</v>
          </cell>
          <cell r="CH93">
            <v>3</v>
          </cell>
          <cell r="CI93">
            <v>3</v>
          </cell>
          <cell r="CJ93">
            <v>3</v>
          </cell>
          <cell r="CK93">
            <v>3</v>
          </cell>
          <cell r="CL93">
            <v>3</v>
          </cell>
          <cell r="CM93">
            <v>3</v>
          </cell>
          <cell r="CN93">
            <v>3</v>
          </cell>
          <cell r="CO93">
            <v>3</v>
          </cell>
          <cell r="CP93">
            <v>3</v>
          </cell>
          <cell r="CQ93">
            <v>3</v>
          </cell>
          <cell r="CR93">
            <v>3</v>
          </cell>
          <cell r="CS93">
            <v>3</v>
          </cell>
          <cell r="CT93">
            <v>3</v>
          </cell>
          <cell r="CU93">
            <v>3</v>
          </cell>
          <cell r="CV93">
            <v>3</v>
          </cell>
          <cell r="CW93">
            <v>3</v>
          </cell>
          <cell r="CX93">
            <v>3</v>
          </cell>
          <cell r="CY93">
            <v>3</v>
          </cell>
          <cell r="CZ93">
            <v>3</v>
          </cell>
          <cell r="DA93">
            <v>3</v>
          </cell>
          <cell r="DB93">
            <v>3</v>
          </cell>
          <cell r="DC93">
            <v>3</v>
          </cell>
          <cell r="DD93">
            <v>3</v>
          </cell>
          <cell r="DE93">
            <v>3</v>
          </cell>
          <cell r="DF93">
            <v>3</v>
          </cell>
          <cell r="DG93">
            <v>3</v>
          </cell>
          <cell r="DH93">
            <v>3</v>
          </cell>
          <cell r="DI93">
            <v>3</v>
          </cell>
          <cell r="DJ93">
            <v>3</v>
          </cell>
          <cell r="DK93">
            <v>3</v>
          </cell>
          <cell r="DL93">
            <v>3</v>
          </cell>
          <cell r="DM93">
            <v>3</v>
          </cell>
          <cell r="DN93">
            <v>3</v>
          </cell>
          <cell r="DO93">
            <v>3</v>
          </cell>
          <cell r="DP93">
            <v>3</v>
          </cell>
          <cell r="DQ93">
            <v>3</v>
          </cell>
          <cell r="DR93">
            <v>3</v>
          </cell>
          <cell r="DS93">
            <v>3</v>
          </cell>
          <cell r="DT93">
            <v>3</v>
          </cell>
          <cell r="DU93">
            <v>3</v>
          </cell>
          <cell r="DV93">
            <v>3</v>
          </cell>
          <cell r="DW93">
            <v>3</v>
          </cell>
          <cell r="DX93">
            <v>3</v>
          </cell>
          <cell r="DY93">
            <v>3</v>
          </cell>
          <cell r="DZ93">
            <v>3</v>
          </cell>
          <cell r="EA93">
            <v>3</v>
          </cell>
          <cell r="EB93">
            <v>3</v>
          </cell>
          <cell r="EC93">
            <v>3</v>
          </cell>
          <cell r="ED93">
            <v>3</v>
          </cell>
          <cell r="EE93">
            <v>3</v>
          </cell>
          <cell r="EF93">
            <v>3</v>
          </cell>
          <cell r="EG93">
            <v>3</v>
          </cell>
          <cell r="EH93">
            <v>3</v>
          </cell>
          <cell r="EI93">
            <v>3</v>
          </cell>
          <cell r="EJ93">
            <v>3</v>
          </cell>
          <cell r="EK93">
            <v>3</v>
          </cell>
          <cell r="EL93">
            <v>3</v>
          </cell>
          <cell r="EM93">
            <v>3</v>
          </cell>
          <cell r="EN93">
            <v>3</v>
          </cell>
          <cell r="EO93">
            <v>3</v>
          </cell>
          <cell r="EP93">
            <v>3</v>
          </cell>
          <cell r="EQ93">
            <v>3</v>
          </cell>
          <cell r="ER93">
            <v>3</v>
          </cell>
          <cell r="ES93">
            <v>3</v>
          </cell>
          <cell r="ET93">
            <v>3</v>
          </cell>
          <cell r="EU93">
            <v>3</v>
          </cell>
          <cell r="EV93">
            <v>3</v>
          </cell>
          <cell r="EW93">
            <v>3</v>
          </cell>
          <cell r="EX93">
            <v>3</v>
          </cell>
          <cell r="EY93">
            <v>3</v>
          </cell>
          <cell r="EZ93">
            <v>3</v>
          </cell>
          <cell r="FA93">
            <v>3</v>
          </cell>
          <cell r="FB93">
            <v>3</v>
          </cell>
          <cell r="FC93">
            <v>3</v>
          </cell>
          <cell r="FD93">
            <v>19</v>
          </cell>
          <cell r="FE93">
            <v>4</v>
          </cell>
          <cell r="FF93">
            <v>92</v>
          </cell>
          <cell r="FG93">
            <v>6</v>
          </cell>
          <cell r="FH93">
            <v>7</v>
          </cell>
          <cell r="FI93">
            <v>13</v>
          </cell>
          <cell r="FJ93">
            <v>23</v>
          </cell>
          <cell r="FK93">
            <v>10</v>
          </cell>
          <cell r="FL93">
            <v>16</v>
          </cell>
          <cell r="FM93">
            <v>-6</v>
          </cell>
          <cell r="FN93" t="str">
            <v>0</v>
          </cell>
          <cell r="FO93" t="str">
            <v>0</v>
          </cell>
          <cell r="FP93">
            <v>0</v>
          </cell>
          <cell r="FQ93" t="str">
            <v>21</v>
          </cell>
        </row>
        <row r="94">
          <cell r="F94" t="str">
            <v>조성동</v>
          </cell>
          <cell r="H94">
            <v>1</v>
          </cell>
          <cell r="I94" t="str">
            <v>(1일)</v>
          </cell>
          <cell r="BP94">
            <v>1</v>
          </cell>
          <cell r="BQ94">
            <v>1</v>
          </cell>
          <cell r="BR94" t="str">
            <v>(2일)</v>
          </cell>
          <cell r="DA94">
            <v>2</v>
          </cell>
          <cell r="EC94">
            <v>3</v>
          </cell>
          <cell r="ED94">
            <v>3</v>
          </cell>
          <cell r="EN94">
            <v>1</v>
          </cell>
          <cell r="EO94">
            <v>1</v>
          </cell>
          <cell r="EP94">
            <v>1</v>
          </cell>
          <cell r="EQ94" t="str">
            <v>(2일)</v>
          </cell>
          <cell r="FD94">
            <v>7</v>
          </cell>
          <cell r="FE94">
            <v>3</v>
          </cell>
          <cell r="FF94">
            <v>2</v>
          </cell>
          <cell r="FG94">
            <v>5</v>
          </cell>
          <cell r="FH94">
            <v>1</v>
          </cell>
          <cell r="FI94">
            <v>6</v>
          </cell>
          <cell r="FJ94">
            <v>25</v>
          </cell>
          <cell r="FK94">
            <v>19</v>
          </cell>
          <cell r="FL94">
            <v>16</v>
          </cell>
          <cell r="FM94">
            <v>3</v>
          </cell>
          <cell r="FN94" t="str">
            <v>1</v>
          </cell>
          <cell r="FO94" t="str">
            <v>0</v>
          </cell>
          <cell r="FP94">
            <v>1</v>
          </cell>
          <cell r="FQ94" t="str">
            <v>21</v>
          </cell>
        </row>
        <row r="95">
          <cell r="F95" t="str">
            <v>조호삼</v>
          </cell>
          <cell r="BF95">
            <v>1</v>
          </cell>
          <cell r="BG95" t="str">
            <v>(1일)</v>
          </cell>
          <cell r="CB95">
            <v>1</v>
          </cell>
          <cell r="CC95">
            <v>1</v>
          </cell>
          <cell r="CD95">
            <v>1</v>
          </cell>
          <cell r="CE95" t="str">
            <v>(2일)</v>
          </cell>
          <cell r="EE95">
            <v>3</v>
          </cell>
          <cell r="EF95">
            <v>3</v>
          </cell>
          <cell r="FD95">
            <v>11</v>
          </cell>
          <cell r="FE95">
            <v>0</v>
          </cell>
          <cell r="FF95">
            <v>2</v>
          </cell>
          <cell r="FG95">
            <v>3</v>
          </cell>
          <cell r="FH95">
            <v>7</v>
          </cell>
          <cell r="FI95">
            <v>10</v>
          </cell>
          <cell r="FJ95">
            <v>23</v>
          </cell>
          <cell r="FK95">
            <v>13</v>
          </cell>
          <cell r="FL95">
            <v>16</v>
          </cell>
          <cell r="FM95">
            <v>-3</v>
          </cell>
          <cell r="FN95" t="str">
            <v>0</v>
          </cell>
          <cell r="FO95" t="str">
            <v>1</v>
          </cell>
          <cell r="FP95">
            <v>1</v>
          </cell>
          <cell r="FQ95" t="str">
            <v>21</v>
          </cell>
        </row>
        <row r="96">
          <cell r="F96" t="str">
            <v>홍원표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 t="str">
            <v>(4일)</v>
          </cell>
          <cell r="CT96">
            <v>1</v>
          </cell>
          <cell r="CU96">
            <v>1</v>
          </cell>
          <cell r="CV96">
            <v>1</v>
          </cell>
          <cell r="CW96" t="str">
            <v>(2일)</v>
          </cell>
          <cell r="DQ96">
            <v>3</v>
          </cell>
          <cell r="DR96">
            <v>3</v>
          </cell>
          <cell r="FD96">
            <v>8</v>
          </cell>
          <cell r="FE96">
            <v>3</v>
          </cell>
          <cell r="FF96">
            <v>2</v>
          </cell>
          <cell r="FG96">
            <v>6</v>
          </cell>
          <cell r="FH96">
            <v>1</v>
          </cell>
          <cell r="FI96">
            <v>7</v>
          </cell>
          <cell r="FJ96">
            <v>23</v>
          </cell>
          <cell r="FK96">
            <v>16</v>
          </cell>
          <cell r="FL96">
            <v>16</v>
          </cell>
          <cell r="FM96">
            <v>0</v>
          </cell>
          <cell r="FN96" t="str">
            <v>0</v>
          </cell>
          <cell r="FO96" t="str">
            <v>0</v>
          </cell>
          <cell r="FP96">
            <v>0</v>
          </cell>
          <cell r="FQ96" t="str">
            <v>21</v>
          </cell>
        </row>
        <row r="97">
          <cell r="F97" t="str">
            <v>김동선</v>
          </cell>
          <cell r="J97">
            <v>1</v>
          </cell>
          <cell r="K97">
            <v>1</v>
          </cell>
          <cell r="L97">
            <v>1</v>
          </cell>
          <cell r="M97" t="str">
            <v>(2일)</v>
          </cell>
          <cell r="CP97">
            <v>1</v>
          </cell>
          <cell r="CQ97">
            <v>1</v>
          </cell>
          <cell r="CR97">
            <v>1</v>
          </cell>
          <cell r="CS97" t="str">
            <v>(3일)</v>
          </cell>
          <cell r="DL97">
            <v>3</v>
          </cell>
          <cell r="DM97">
            <v>3</v>
          </cell>
          <cell r="DN97">
            <v>3</v>
          </cell>
          <cell r="DO97">
            <v>3</v>
          </cell>
          <cell r="DP97">
            <v>3</v>
          </cell>
          <cell r="DQ97">
            <v>3</v>
          </cell>
          <cell r="DR97">
            <v>3</v>
          </cell>
          <cell r="EG97">
            <v>3</v>
          </cell>
          <cell r="EH97">
            <v>3</v>
          </cell>
          <cell r="FD97">
            <v>8</v>
          </cell>
          <cell r="FE97">
            <v>0</v>
          </cell>
          <cell r="FF97">
            <v>9</v>
          </cell>
          <cell r="FG97">
            <v>5</v>
          </cell>
          <cell r="FH97">
            <v>2</v>
          </cell>
          <cell r="FI97">
            <v>7</v>
          </cell>
          <cell r="FJ97">
            <v>25</v>
          </cell>
          <cell r="FK97">
            <v>18</v>
          </cell>
          <cell r="FL97">
            <v>16</v>
          </cell>
          <cell r="FM97">
            <v>2</v>
          </cell>
          <cell r="FN97" t="str">
            <v>1</v>
          </cell>
          <cell r="FO97" t="str">
            <v>1</v>
          </cell>
          <cell r="FP97">
            <v>2</v>
          </cell>
          <cell r="FQ97" t="str">
            <v>21</v>
          </cell>
        </row>
        <row r="98">
          <cell r="F98" t="str">
            <v>김남수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 t="str">
            <v>(4일)</v>
          </cell>
          <cell r="CI98">
            <v>1</v>
          </cell>
          <cell r="CJ98">
            <v>1</v>
          </cell>
          <cell r="CK98">
            <v>1</v>
          </cell>
          <cell r="CL98" t="str">
            <v>(2일)</v>
          </cell>
          <cell r="EB98">
            <v>3</v>
          </cell>
          <cell r="EC98">
            <v>3</v>
          </cell>
          <cell r="FD98">
            <v>9</v>
          </cell>
          <cell r="FE98">
            <v>0</v>
          </cell>
          <cell r="FF98">
            <v>2</v>
          </cell>
          <cell r="FG98">
            <v>6</v>
          </cell>
          <cell r="FH98">
            <v>0</v>
          </cell>
          <cell r="FI98">
            <v>6</v>
          </cell>
          <cell r="FJ98">
            <v>25</v>
          </cell>
          <cell r="FK98">
            <v>19</v>
          </cell>
          <cell r="FL98">
            <v>16</v>
          </cell>
          <cell r="FM98">
            <v>3</v>
          </cell>
          <cell r="FN98" t="str">
            <v>1</v>
          </cell>
          <cell r="FO98" t="str">
            <v>1</v>
          </cell>
          <cell r="FP98">
            <v>2</v>
          </cell>
          <cell r="FQ98" t="str">
            <v>21</v>
          </cell>
        </row>
        <row r="99">
          <cell r="F99" t="str">
            <v>양동희</v>
          </cell>
          <cell r="AD99">
            <v>2</v>
          </cell>
          <cell r="CD99">
            <v>3</v>
          </cell>
          <cell r="DQ99">
            <v>3</v>
          </cell>
          <cell r="DR99">
            <v>3</v>
          </cell>
          <cell r="EP99">
            <v>1</v>
          </cell>
          <cell r="EQ99" t="str">
            <v>(1일)</v>
          </cell>
          <cell r="FD99">
            <v>4</v>
          </cell>
          <cell r="FE99">
            <v>3</v>
          </cell>
          <cell r="FF99">
            <v>3</v>
          </cell>
          <cell r="FG99">
            <v>1</v>
          </cell>
          <cell r="FH99">
            <v>3</v>
          </cell>
          <cell r="FI99">
            <v>4</v>
          </cell>
          <cell r="FJ99">
            <v>24</v>
          </cell>
          <cell r="FK99">
            <v>20</v>
          </cell>
          <cell r="FL99">
            <v>16</v>
          </cell>
          <cell r="FM99">
            <v>4</v>
          </cell>
          <cell r="FN99" t="str">
            <v>1</v>
          </cell>
          <cell r="FO99" t="str">
            <v>0</v>
          </cell>
          <cell r="FP99">
            <v>1</v>
          </cell>
          <cell r="FQ99" t="str">
            <v>21</v>
          </cell>
        </row>
        <row r="100">
          <cell r="F100" t="str">
            <v>이한수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 t="str">
            <v>(4일)</v>
          </cell>
          <cell r="CB100">
            <v>1</v>
          </cell>
          <cell r="CC100">
            <v>1</v>
          </cell>
          <cell r="CD100">
            <v>1</v>
          </cell>
          <cell r="CE100" t="str">
            <v>(2일)</v>
          </cell>
          <cell r="DZ100">
            <v>3</v>
          </cell>
          <cell r="EA100">
            <v>3</v>
          </cell>
          <cell r="FD100">
            <v>10</v>
          </cell>
          <cell r="FE100">
            <v>0</v>
          </cell>
          <cell r="FF100">
            <v>2</v>
          </cell>
          <cell r="FG100">
            <v>6</v>
          </cell>
          <cell r="FH100">
            <v>1</v>
          </cell>
          <cell r="FI100">
            <v>7</v>
          </cell>
          <cell r="FJ100">
            <v>25</v>
          </cell>
          <cell r="FK100">
            <v>18</v>
          </cell>
          <cell r="FL100">
            <v>16</v>
          </cell>
          <cell r="FM100">
            <v>2</v>
          </cell>
          <cell r="FN100" t="str">
            <v>1</v>
          </cell>
          <cell r="FO100" t="str">
            <v>1</v>
          </cell>
          <cell r="FP100">
            <v>2</v>
          </cell>
          <cell r="FQ100" t="str">
            <v>21</v>
          </cell>
        </row>
        <row r="101">
          <cell r="F101" t="str">
            <v>김태완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 t="str">
            <v>(5일)</v>
          </cell>
          <cell r="CX101">
            <v>1</v>
          </cell>
          <cell r="CY101">
            <v>1</v>
          </cell>
          <cell r="CZ101">
            <v>1</v>
          </cell>
          <cell r="DA101" t="str">
            <v>(3일)</v>
          </cell>
          <cell r="DS101">
            <v>3</v>
          </cell>
          <cell r="DT101">
            <v>3</v>
          </cell>
          <cell r="FD101">
            <v>12</v>
          </cell>
          <cell r="FE101">
            <v>0</v>
          </cell>
          <cell r="FF101">
            <v>3</v>
          </cell>
          <cell r="FG101">
            <v>8</v>
          </cell>
          <cell r="FH101">
            <v>2</v>
          </cell>
          <cell r="FI101">
            <v>10</v>
          </cell>
          <cell r="FJ101">
            <v>19</v>
          </cell>
          <cell r="FK101">
            <v>9</v>
          </cell>
          <cell r="FL101">
            <v>16</v>
          </cell>
          <cell r="FM101">
            <v>-7</v>
          </cell>
          <cell r="FN101" t="str">
            <v>0</v>
          </cell>
          <cell r="FO101" t="str">
            <v>1</v>
          </cell>
          <cell r="FP101">
            <v>1</v>
          </cell>
          <cell r="FQ101">
            <v>20</v>
          </cell>
        </row>
        <row r="102">
          <cell r="F102" t="str">
            <v>윤경보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 t="str">
            <v>(5일)</v>
          </cell>
          <cell r="CW102" t="str">
            <v>(3일)</v>
          </cell>
          <cell r="CX102">
            <v>1</v>
          </cell>
          <cell r="CY102">
            <v>1</v>
          </cell>
          <cell r="CZ102">
            <v>1</v>
          </cell>
          <cell r="DA102">
            <v>2</v>
          </cell>
          <cell r="EG102">
            <v>3</v>
          </cell>
          <cell r="EH102">
            <v>3</v>
          </cell>
          <cell r="FD102">
            <v>15</v>
          </cell>
          <cell r="FE102">
            <v>1</v>
          </cell>
          <cell r="FF102">
            <v>2</v>
          </cell>
          <cell r="FG102">
            <v>8</v>
          </cell>
          <cell r="FH102">
            <v>5</v>
          </cell>
          <cell r="FI102">
            <v>13</v>
          </cell>
          <cell r="FJ102">
            <v>24</v>
          </cell>
          <cell r="FK102">
            <v>11</v>
          </cell>
          <cell r="FL102">
            <v>16</v>
          </cell>
          <cell r="FM102">
            <v>-5</v>
          </cell>
          <cell r="FN102" t="str">
            <v>0</v>
          </cell>
          <cell r="FO102" t="str">
            <v>0</v>
          </cell>
          <cell r="FP102">
            <v>0</v>
          </cell>
          <cell r="FQ102" t="str">
            <v>21</v>
          </cell>
        </row>
        <row r="103">
          <cell r="F103" t="str">
            <v>조승희</v>
          </cell>
          <cell r="AK103">
            <v>1</v>
          </cell>
          <cell r="AL103">
            <v>1</v>
          </cell>
          <cell r="AM103">
            <v>1</v>
          </cell>
          <cell r="AN103">
            <v>1</v>
          </cell>
          <cell r="AO103">
            <v>1</v>
          </cell>
          <cell r="AP103">
            <v>1</v>
          </cell>
          <cell r="AQ103" t="str">
            <v>(5일)</v>
          </cell>
          <cell r="CP103">
            <v>1</v>
          </cell>
          <cell r="CQ103">
            <v>1</v>
          </cell>
          <cell r="CR103">
            <v>1</v>
          </cell>
          <cell r="CS103" t="str">
            <v>(3일)</v>
          </cell>
          <cell r="EC103">
            <v>3</v>
          </cell>
          <cell r="ED103">
            <v>3</v>
          </cell>
          <cell r="FD103">
            <v>14</v>
          </cell>
          <cell r="FE103">
            <v>0</v>
          </cell>
          <cell r="FF103">
            <v>3</v>
          </cell>
          <cell r="FG103">
            <v>8</v>
          </cell>
          <cell r="FH103">
            <v>5</v>
          </cell>
          <cell r="FI103">
            <v>13</v>
          </cell>
          <cell r="FJ103">
            <v>25</v>
          </cell>
          <cell r="FK103">
            <v>12</v>
          </cell>
          <cell r="FL103">
            <v>16</v>
          </cell>
          <cell r="FM103">
            <v>-4</v>
          </cell>
          <cell r="FN103" t="str">
            <v>0</v>
          </cell>
          <cell r="FO103" t="str">
            <v>1</v>
          </cell>
          <cell r="FP103">
            <v>1</v>
          </cell>
          <cell r="FQ103" t="str">
            <v>21</v>
          </cell>
        </row>
        <row r="104">
          <cell r="F104" t="str">
            <v>김성환</v>
          </cell>
          <cell r="CD104">
            <v>3</v>
          </cell>
          <cell r="CE104">
            <v>3</v>
          </cell>
          <cell r="CF104">
            <v>3</v>
          </cell>
          <cell r="CG104">
            <v>3</v>
          </cell>
          <cell r="CH104">
            <v>3</v>
          </cell>
          <cell r="CI104">
            <v>3</v>
          </cell>
          <cell r="CJ104">
            <v>3</v>
          </cell>
          <cell r="DS104">
            <v>3</v>
          </cell>
          <cell r="DT104">
            <v>3</v>
          </cell>
          <cell r="FD104">
            <v>9</v>
          </cell>
          <cell r="FE104">
            <v>0</v>
          </cell>
          <cell r="FF104">
            <v>9</v>
          </cell>
          <cell r="FH104">
            <v>5</v>
          </cell>
          <cell r="FI104">
            <v>5</v>
          </cell>
          <cell r="FJ104">
            <v>16</v>
          </cell>
          <cell r="FK104">
            <v>11</v>
          </cell>
          <cell r="FL104">
            <v>16</v>
          </cell>
          <cell r="FM104">
            <v>-5</v>
          </cell>
          <cell r="FN104" t="str">
            <v>0</v>
          </cell>
          <cell r="FO104" t="str">
            <v>1</v>
          </cell>
          <cell r="FP104">
            <v>1</v>
          </cell>
          <cell r="FQ104">
            <v>17</v>
          </cell>
        </row>
        <row r="105">
          <cell r="F105" t="str">
            <v>최윤영</v>
          </cell>
          <cell r="U105">
            <v>1</v>
          </cell>
          <cell r="V105">
            <v>1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 t="str">
            <v>(3일)</v>
          </cell>
          <cell r="CP105">
            <v>1</v>
          </cell>
          <cell r="CQ105">
            <v>1</v>
          </cell>
          <cell r="CR105">
            <v>1</v>
          </cell>
          <cell r="CS105" t="str">
            <v>(1일)</v>
          </cell>
          <cell r="DV105">
            <v>3</v>
          </cell>
          <cell r="DW105">
            <v>3</v>
          </cell>
          <cell r="FD105">
            <v>9</v>
          </cell>
          <cell r="FE105">
            <v>0</v>
          </cell>
          <cell r="FF105">
            <v>9</v>
          </cell>
          <cell r="FG105">
            <v>4</v>
          </cell>
          <cell r="FH105">
            <v>0</v>
          </cell>
          <cell r="FI105">
            <v>4</v>
          </cell>
          <cell r="FJ105">
            <v>25</v>
          </cell>
          <cell r="FK105">
            <v>21</v>
          </cell>
          <cell r="FL105">
            <v>16</v>
          </cell>
          <cell r="FM105">
            <v>5</v>
          </cell>
          <cell r="FN105" t="str">
            <v>1</v>
          </cell>
          <cell r="FO105" t="str">
            <v>1</v>
          </cell>
          <cell r="FP105">
            <v>2</v>
          </cell>
          <cell r="FQ105" t="str">
            <v>21</v>
          </cell>
        </row>
        <row r="106">
          <cell r="F106" t="str">
            <v>이인철</v>
          </cell>
          <cell r="R106">
            <v>1</v>
          </cell>
          <cell r="S106">
            <v>1</v>
          </cell>
          <cell r="T106" t="str">
            <v>(1일)</v>
          </cell>
          <cell r="AW106">
            <v>3</v>
          </cell>
          <cell r="AX106">
            <v>3</v>
          </cell>
          <cell r="CK106">
            <v>1</v>
          </cell>
          <cell r="CL106">
            <v>1</v>
          </cell>
          <cell r="CM106" t="str">
            <v>(2일)</v>
          </cell>
          <cell r="EE106">
            <v>3</v>
          </cell>
          <cell r="EF106">
            <v>3</v>
          </cell>
          <cell r="FD106">
            <v>7</v>
          </cell>
          <cell r="FE106">
            <v>0</v>
          </cell>
          <cell r="FF106">
            <v>7</v>
          </cell>
          <cell r="FG106">
            <v>3</v>
          </cell>
          <cell r="FH106">
            <v>0.5</v>
          </cell>
          <cell r="FI106">
            <v>3.5</v>
          </cell>
          <cell r="FJ106">
            <v>23</v>
          </cell>
          <cell r="FK106">
            <v>19.5</v>
          </cell>
          <cell r="FL106">
            <v>16</v>
          </cell>
          <cell r="FM106">
            <v>3.5</v>
          </cell>
          <cell r="FN106" t="str">
            <v>1</v>
          </cell>
          <cell r="FO106" t="str">
            <v>1</v>
          </cell>
          <cell r="FP106">
            <v>2</v>
          </cell>
          <cell r="FQ106" t="str">
            <v>21</v>
          </cell>
        </row>
        <row r="107">
          <cell r="F107" t="str">
            <v>김창호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 t="str">
            <v>(4일)</v>
          </cell>
          <cell r="CW107">
            <v>1</v>
          </cell>
          <cell r="CX107">
            <v>1</v>
          </cell>
          <cell r="CY107">
            <v>1</v>
          </cell>
          <cell r="CZ107" t="str">
            <v>(2일)</v>
          </cell>
          <cell r="EC107">
            <v>3</v>
          </cell>
          <cell r="ED107">
            <v>3</v>
          </cell>
          <cell r="FD107">
            <v>17</v>
          </cell>
          <cell r="FE107">
            <v>0</v>
          </cell>
          <cell r="FF107">
            <v>2</v>
          </cell>
          <cell r="FG107">
            <v>6</v>
          </cell>
          <cell r="FH107">
            <v>5.5</v>
          </cell>
          <cell r="FI107">
            <v>11.5</v>
          </cell>
          <cell r="FJ107">
            <v>25</v>
          </cell>
          <cell r="FK107">
            <v>13.5</v>
          </cell>
          <cell r="FL107">
            <v>16</v>
          </cell>
          <cell r="FM107">
            <v>-2.5</v>
          </cell>
          <cell r="FN107" t="str">
            <v>0</v>
          </cell>
          <cell r="FO107" t="str">
            <v>1</v>
          </cell>
          <cell r="FP107">
            <v>1</v>
          </cell>
          <cell r="FQ107" t="str">
            <v>21</v>
          </cell>
        </row>
        <row r="108">
          <cell r="F108" t="str">
            <v>이운택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 t="str">
            <v>(5일)</v>
          </cell>
          <cell r="CQ108">
            <v>1</v>
          </cell>
          <cell r="CR108">
            <v>1</v>
          </cell>
          <cell r="CS108">
            <v>1</v>
          </cell>
          <cell r="CT108" t="str">
            <v>(2일)</v>
          </cell>
          <cell r="DT108">
            <v>3</v>
          </cell>
          <cell r="DU108">
            <v>3</v>
          </cell>
          <cell r="EL108">
            <v>1</v>
          </cell>
          <cell r="EM108" t="str">
            <v>(1일)</v>
          </cell>
          <cell r="FD108">
            <v>14</v>
          </cell>
          <cell r="FE108">
            <v>14</v>
          </cell>
          <cell r="FF108">
            <v>2</v>
          </cell>
          <cell r="FG108">
            <v>8</v>
          </cell>
          <cell r="FH108">
            <v>2</v>
          </cell>
          <cell r="FI108">
            <v>10</v>
          </cell>
          <cell r="FJ108">
            <v>24</v>
          </cell>
          <cell r="FK108">
            <v>14</v>
          </cell>
          <cell r="FL108">
            <v>16</v>
          </cell>
          <cell r="FM108">
            <v>-2</v>
          </cell>
          <cell r="FN108" t="str">
            <v>0</v>
          </cell>
          <cell r="FO108" t="str">
            <v>0</v>
          </cell>
          <cell r="FP108">
            <v>0</v>
          </cell>
          <cell r="FQ108" t="str">
            <v>21</v>
          </cell>
        </row>
        <row r="109">
          <cell r="F109" t="str">
            <v>김만형</v>
          </cell>
          <cell r="V109">
            <v>1</v>
          </cell>
          <cell r="W109">
            <v>1</v>
          </cell>
          <cell r="X109">
            <v>1</v>
          </cell>
          <cell r="Y109">
            <v>1</v>
          </cell>
          <cell r="Z109" t="str">
            <v>(4일)</v>
          </cell>
          <cell r="CJ109">
            <v>1</v>
          </cell>
          <cell r="CK109" t="str">
            <v>(1일)</v>
          </cell>
          <cell r="ED109">
            <v>3</v>
          </cell>
          <cell r="EE109">
            <v>3</v>
          </cell>
          <cell r="EX109">
            <v>0.5</v>
          </cell>
          <cell r="FD109">
            <v>8</v>
          </cell>
          <cell r="FE109">
            <v>0</v>
          </cell>
          <cell r="FF109">
            <v>2</v>
          </cell>
          <cell r="FG109">
            <v>5.5</v>
          </cell>
          <cell r="FH109">
            <v>3</v>
          </cell>
          <cell r="FI109">
            <v>8.5</v>
          </cell>
          <cell r="FJ109">
            <v>25</v>
          </cell>
          <cell r="FK109">
            <v>16.5</v>
          </cell>
          <cell r="FL109">
            <v>16</v>
          </cell>
          <cell r="FM109">
            <v>0.5</v>
          </cell>
          <cell r="FN109" t="str">
            <v>0</v>
          </cell>
          <cell r="FO109" t="str">
            <v>1</v>
          </cell>
          <cell r="FP109">
            <v>1</v>
          </cell>
          <cell r="FQ109" t="str">
            <v>21</v>
          </cell>
        </row>
        <row r="110">
          <cell r="F110" t="str">
            <v>고인종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 t="str">
            <v>(5일)</v>
          </cell>
          <cell r="BM110">
            <v>1</v>
          </cell>
          <cell r="BN110" t="str">
            <v>(1일)</v>
          </cell>
          <cell r="DQ110">
            <v>3</v>
          </cell>
          <cell r="DR110">
            <v>3</v>
          </cell>
          <cell r="EX110">
            <v>1</v>
          </cell>
          <cell r="EY110" t="str">
            <v>(1일)</v>
          </cell>
          <cell r="FD110">
            <v>12</v>
          </cell>
          <cell r="FE110">
            <v>0</v>
          </cell>
          <cell r="FF110">
            <v>2</v>
          </cell>
          <cell r="FG110">
            <v>7</v>
          </cell>
          <cell r="FH110">
            <v>3</v>
          </cell>
          <cell r="FI110">
            <v>10</v>
          </cell>
          <cell r="FJ110">
            <v>25</v>
          </cell>
          <cell r="FK110">
            <v>15</v>
          </cell>
          <cell r="FL110">
            <v>16</v>
          </cell>
          <cell r="FM110">
            <v>-1</v>
          </cell>
          <cell r="FN110" t="str">
            <v>0</v>
          </cell>
          <cell r="FO110" t="str">
            <v>1</v>
          </cell>
          <cell r="FP110">
            <v>1</v>
          </cell>
          <cell r="FQ110" t="str">
            <v>21</v>
          </cell>
        </row>
        <row r="111">
          <cell r="F111" t="str">
            <v>함용덕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 t="str">
            <v>(5일)</v>
          </cell>
          <cell r="CM111">
            <v>1</v>
          </cell>
          <cell r="CN111">
            <v>1</v>
          </cell>
          <cell r="CO111">
            <v>1</v>
          </cell>
          <cell r="CP111" t="str">
            <v>(3일)</v>
          </cell>
          <cell r="EF111">
            <v>3</v>
          </cell>
          <cell r="EG111">
            <v>3</v>
          </cell>
          <cell r="FD111">
            <v>8</v>
          </cell>
          <cell r="FE111">
            <v>0</v>
          </cell>
          <cell r="FF111">
            <v>5</v>
          </cell>
          <cell r="FG111">
            <v>8</v>
          </cell>
          <cell r="FH111">
            <v>0</v>
          </cell>
          <cell r="FI111">
            <v>8</v>
          </cell>
          <cell r="FJ111">
            <v>25</v>
          </cell>
          <cell r="FK111">
            <v>17</v>
          </cell>
          <cell r="FL111">
            <v>16</v>
          </cell>
          <cell r="FM111">
            <v>1</v>
          </cell>
          <cell r="FN111" t="str">
            <v>1</v>
          </cell>
          <cell r="FO111" t="str">
            <v>1</v>
          </cell>
          <cell r="FP111">
            <v>2</v>
          </cell>
          <cell r="FQ111" t="str">
            <v>21</v>
          </cell>
        </row>
        <row r="112">
          <cell r="F112" t="str">
            <v>김영문</v>
          </cell>
          <cell r="BQ112">
            <v>1</v>
          </cell>
          <cell r="BR112" t="str">
            <v>(1일)</v>
          </cell>
          <cell r="CT112">
            <v>1</v>
          </cell>
          <cell r="CU112">
            <v>1</v>
          </cell>
          <cell r="CV112">
            <v>1</v>
          </cell>
          <cell r="CW112" t="str">
            <v>(2일)</v>
          </cell>
          <cell r="DZ112">
            <v>3</v>
          </cell>
          <cell r="EA112">
            <v>3</v>
          </cell>
          <cell r="EE112">
            <v>1</v>
          </cell>
          <cell r="EF112" t="str">
            <v>(1일)</v>
          </cell>
          <cell r="FD112">
            <v>11</v>
          </cell>
          <cell r="FE112">
            <v>0</v>
          </cell>
          <cell r="FF112">
            <v>2</v>
          </cell>
          <cell r="FG112">
            <v>4</v>
          </cell>
          <cell r="FH112">
            <v>5</v>
          </cell>
          <cell r="FI112">
            <v>9</v>
          </cell>
          <cell r="FJ112">
            <v>24</v>
          </cell>
          <cell r="FK112">
            <v>15</v>
          </cell>
          <cell r="FL112">
            <v>16</v>
          </cell>
          <cell r="FM112">
            <v>-1</v>
          </cell>
          <cell r="FN112" t="str">
            <v>0</v>
          </cell>
          <cell r="FO112" t="str">
            <v>1</v>
          </cell>
          <cell r="FP112">
            <v>1</v>
          </cell>
          <cell r="FQ112" t="str">
            <v>21</v>
          </cell>
        </row>
        <row r="113">
          <cell r="F113" t="str">
            <v>박종찬</v>
          </cell>
          <cell r="G113">
            <v>1</v>
          </cell>
          <cell r="H113">
            <v>1</v>
          </cell>
          <cell r="I113">
            <v>1</v>
          </cell>
          <cell r="J113">
            <v>1</v>
          </cell>
          <cell r="K113">
            <v>1</v>
          </cell>
          <cell r="L113" t="str">
            <v>(4일)</v>
          </cell>
          <cell r="CW113">
            <v>1</v>
          </cell>
          <cell r="CX113">
            <v>1</v>
          </cell>
          <cell r="CY113">
            <v>1</v>
          </cell>
          <cell r="CZ113" t="str">
            <v>(2일)</v>
          </cell>
          <cell r="EE113">
            <v>3</v>
          </cell>
          <cell r="EF113">
            <v>3</v>
          </cell>
          <cell r="FD113">
            <v>9</v>
          </cell>
          <cell r="FE113">
            <v>0</v>
          </cell>
          <cell r="FF113">
            <v>2</v>
          </cell>
          <cell r="FG113">
            <v>6</v>
          </cell>
          <cell r="FH113">
            <v>1</v>
          </cell>
          <cell r="FI113">
            <v>7</v>
          </cell>
          <cell r="FJ113">
            <v>24</v>
          </cell>
          <cell r="FK113">
            <v>17</v>
          </cell>
          <cell r="FL113">
            <v>16</v>
          </cell>
          <cell r="FM113">
            <v>1</v>
          </cell>
          <cell r="FN113" t="str">
            <v>1</v>
          </cell>
          <cell r="FO113" t="str">
            <v>1</v>
          </cell>
          <cell r="FP113">
            <v>2</v>
          </cell>
          <cell r="FQ113" t="str">
            <v>21</v>
          </cell>
        </row>
        <row r="114">
          <cell r="F114" t="str">
            <v>이선복</v>
          </cell>
          <cell r="G114">
            <v>1</v>
          </cell>
          <cell r="H114">
            <v>1</v>
          </cell>
          <cell r="I114">
            <v>1</v>
          </cell>
          <cell r="J114">
            <v>1</v>
          </cell>
          <cell r="K114">
            <v>1</v>
          </cell>
          <cell r="L114" t="str">
            <v>(4일)</v>
          </cell>
          <cell r="BJ114">
            <v>2</v>
          </cell>
          <cell r="CB114">
            <v>1</v>
          </cell>
          <cell r="CC114">
            <v>1</v>
          </cell>
          <cell r="CD114" t="str">
            <v>(2일)</v>
          </cell>
          <cell r="DZ114">
            <v>3</v>
          </cell>
          <cell r="EA114">
            <v>3</v>
          </cell>
          <cell r="ER114">
            <v>2</v>
          </cell>
          <cell r="FD114">
            <v>10</v>
          </cell>
          <cell r="FE114">
            <v>5</v>
          </cell>
          <cell r="FF114">
            <v>5</v>
          </cell>
          <cell r="FG114">
            <v>6</v>
          </cell>
          <cell r="FH114">
            <v>3</v>
          </cell>
          <cell r="FI114">
            <v>9</v>
          </cell>
          <cell r="FJ114">
            <v>23</v>
          </cell>
          <cell r="FK114">
            <v>14</v>
          </cell>
          <cell r="FL114">
            <v>16</v>
          </cell>
          <cell r="FM114">
            <v>-2</v>
          </cell>
          <cell r="FN114" t="str">
            <v>0</v>
          </cell>
          <cell r="FO114" t="str">
            <v>0</v>
          </cell>
          <cell r="FP114">
            <v>0</v>
          </cell>
          <cell r="FQ114" t="str">
            <v>21</v>
          </cell>
        </row>
        <row r="115">
          <cell r="F115" t="str">
            <v>전길수</v>
          </cell>
          <cell r="I115">
            <v>2</v>
          </cell>
          <cell r="CF115">
            <v>1</v>
          </cell>
          <cell r="CG115">
            <v>1</v>
          </cell>
          <cell r="CH115">
            <v>1</v>
          </cell>
          <cell r="CI115" t="str">
            <v>(2일)</v>
          </cell>
          <cell r="CU115">
            <v>2</v>
          </cell>
          <cell r="CV115">
            <v>2</v>
          </cell>
          <cell r="CW115">
            <v>2</v>
          </cell>
          <cell r="CX115">
            <v>2</v>
          </cell>
          <cell r="CY115">
            <v>2</v>
          </cell>
          <cell r="CZ115">
            <v>2</v>
          </cell>
          <cell r="DA115">
            <v>2</v>
          </cell>
          <cell r="DB115">
            <v>2</v>
          </cell>
          <cell r="DC115">
            <v>2</v>
          </cell>
          <cell r="DD115">
            <v>2</v>
          </cell>
          <cell r="DE115">
            <v>2</v>
          </cell>
          <cell r="DF115">
            <v>2</v>
          </cell>
          <cell r="DX115">
            <v>3</v>
          </cell>
          <cell r="DY115">
            <v>3</v>
          </cell>
          <cell r="EA115">
            <v>2</v>
          </cell>
          <cell r="EE115">
            <v>2</v>
          </cell>
          <cell r="EF115">
            <v>2</v>
          </cell>
          <cell r="EN115">
            <v>1</v>
          </cell>
          <cell r="EO115">
            <v>1</v>
          </cell>
          <cell r="EP115">
            <v>1</v>
          </cell>
          <cell r="EQ115" t="str">
            <v>(3일)</v>
          </cell>
          <cell r="FD115">
            <v>15</v>
          </cell>
          <cell r="FE115">
            <v>16</v>
          </cell>
          <cell r="FF115">
            <v>7</v>
          </cell>
          <cell r="FG115">
            <v>5</v>
          </cell>
          <cell r="FH115">
            <v>5</v>
          </cell>
          <cell r="FI115">
            <v>10</v>
          </cell>
          <cell r="FJ115">
            <v>25</v>
          </cell>
          <cell r="FK115">
            <v>15</v>
          </cell>
          <cell r="FL115">
            <v>16</v>
          </cell>
          <cell r="FM115">
            <v>-1</v>
          </cell>
          <cell r="FN115" t="str">
            <v>0</v>
          </cell>
          <cell r="FO115" t="str">
            <v>0</v>
          </cell>
          <cell r="FP115">
            <v>0</v>
          </cell>
          <cell r="FQ115" t="str">
            <v>21</v>
          </cell>
        </row>
        <row r="116">
          <cell r="F116" t="str">
            <v>최성현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 t="str">
            <v>(4일)</v>
          </cell>
          <cell r="AI116">
            <v>2</v>
          </cell>
          <cell r="BJ116">
            <v>1</v>
          </cell>
          <cell r="BK116">
            <v>1</v>
          </cell>
          <cell r="BL116" t="str">
            <v>(2일)</v>
          </cell>
          <cell r="CM116">
            <v>3</v>
          </cell>
          <cell r="CN116">
            <v>3</v>
          </cell>
          <cell r="CO116">
            <v>3</v>
          </cell>
          <cell r="CP116">
            <v>3</v>
          </cell>
          <cell r="CQ116">
            <v>3</v>
          </cell>
          <cell r="CW116">
            <v>1</v>
          </cell>
          <cell r="CX116">
            <v>1</v>
          </cell>
          <cell r="CY116">
            <v>1</v>
          </cell>
          <cell r="CZ116" t="str">
            <v>(2일)</v>
          </cell>
          <cell r="EG116">
            <v>3</v>
          </cell>
          <cell r="EH116">
            <v>3</v>
          </cell>
          <cell r="FD116">
            <v>14</v>
          </cell>
          <cell r="FE116">
            <v>14</v>
          </cell>
          <cell r="FF116">
            <v>7</v>
          </cell>
          <cell r="FG116">
            <v>8</v>
          </cell>
          <cell r="FH116">
            <v>2</v>
          </cell>
          <cell r="FI116">
            <v>10</v>
          </cell>
          <cell r="FJ116">
            <v>24</v>
          </cell>
          <cell r="FK116">
            <v>14</v>
          </cell>
          <cell r="FL116">
            <v>16</v>
          </cell>
          <cell r="FM116">
            <v>-2</v>
          </cell>
          <cell r="FN116" t="str">
            <v>0</v>
          </cell>
          <cell r="FO116" t="str">
            <v>0</v>
          </cell>
          <cell r="FP116">
            <v>0</v>
          </cell>
          <cell r="FQ116" t="str">
            <v>21</v>
          </cell>
        </row>
        <row r="117">
          <cell r="F117" t="str">
            <v>김주용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 t="str">
            <v>(4일)</v>
          </cell>
          <cell r="CP117">
            <v>1</v>
          </cell>
          <cell r="CQ117">
            <v>1</v>
          </cell>
          <cell r="CR117">
            <v>1</v>
          </cell>
          <cell r="CS117" t="str">
            <v>(2일)</v>
          </cell>
          <cell r="DS117">
            <v>3</v>
          </cell>
          <cell r="DT117">
            <v>3</v>
          </cell>
          <cell r="FD117">
            <v>10</v>
          </cell>
          <cell r="FE117">
            <v>0</v>
          </cell>
          <cell r="FF117">
            <v>2</v>
          </cell>
          <cell r="FG117">
            <v>6</v>
          </cell>
          <cell r="FH117">
            <v>1</v>
          </cell>
          <cell r="FI117">
            <v>7</v>
          </cell>
          <cell r="FJ117">
            <v>25</v>
          </cell>
          <cell r="FK117">
            <v>18</v>
          </cell>
          <cell r="FL117">
            <v>16</v>
          </cell>
          <cell r="FM117">
            <v>2</v>
          </cell>
          <cell r="FN117" t="str">
            <v>1</v>
          </cell>
          <cell r="FO117" t="str">
            <v>1</v>
          </cell>
          <cell r="FP117">
            <v>2</v>
          </cell>
          <cell r="FQ117" t="str">
            <v>21</v>
          </cell>
        </row>
        <row r="118">
          <cell r="F118" t="str">
            <v>권홍상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  <cell r="AM118">
            <v>1</v>
          </cell>
          <cell r="AN118">
            <v>1</v>
          </cell>
          <cell r="AO118" t="str">
            <v>(4일)</v>
          </cell>
          <cell r="CF118">
            <v>1</v>
          </cell>
          <cell r="CG118">
            <v>1</v>
          </cell>
          <cell r="CH118">
            <v>1</v>
          </cell>
          <cell r="CI118" t="str">
            <v>(1일)</v>
          </cell>
          <cell r="DZ118">
            <v>3</v>
          </cell>
          <cell r="EA118">
            <v>3</v>
          </cell>
          <cell r="FD118">
            <v>14</v>
          </cell>
          <cell r="FE118">
            <v>0</v>
          </cell>
          <cell r="FF118">
            <v>2</v>
          </cell>
          <cell r="FG118">
            <v>5</v>
          </cell>
          <cell r="FH118">
            <v>5</v>
          </cell>
          <cell r="FI118">
            <v>10</v>
          </cell>
          <cell r="FJ118">
            <v>24</v>
          </cell>
          <cell r="FK118">
            <v>14</v>
          </cell>
          <cell r="FL118">
            <v>16</v>
          </cell>
          <cell r="FM118">
            <v>-2</v>
          </cell>
          <cell r="FN118" t="str">
            <v>0</v>
          </cell>
          <cell r="FO118" t="str">
            <v>1</v>
          </cell>
          <cell r="FP118">
            <v>1</v>
          </cell>
          <cell r="FQ118" t="str">
            <v>21</v>
          </cell>
        </row>
        <row r="119">
          <cell r="F119" t="str">
            <v>김도균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 t="str">
            <v>(4일)</v>
          </cell>
          <cell r="CL119">
            <v>1</v>
          </cell>
          <cell r="CM119">
            <v>1</v>
          </cell>
          <cell r="CN119">
            <v>1</v>
          </cell>
          <cell r="CO119" t="str">
            <v>(3일)</v>
          </cell>
          <cell r="DX119">
            <v>3</v>
          </cell>
          <cell r="DY119">
            <v>3</v>
          </cell>
          <cell r="FD119">
            <v>12</v>
          </cell>
          <cell r="FE119">
            <v>14</v>
          </cell>
          <cell r="FF119">
            <v>2</v>
          </cell>
          <cell r="FG119">
            <v>7</v>
          </cell>
          <cell r="FH119">
            <v>2</v>
          </cell>
          <cell r="FI119">
            <v>9</v>
          </cell>
          <cell r="FJ119">
            <v>24</v>
          </cell>
          <cell r="FK119">
            <v>15</v>
          </cell>
          <cell r="FL119">
            <v>16</v>
          </cell>
          <cell r="FM119">
            <v>-1</v>
          </cell>
          <cell r="FN119" t="str">
            <v>0</v>
          </cell>
          <cell r="FO119" t="str">
            <v>0</v>
          </cell>
          <cell r="FP119">
            <v>0</v>
          </cell>
          <cell r="FQ119" t="str">
            <v>21</v>
          </cell>
        </row>
        <row r="120">
          <cell r="F120" t="str">
            <v>한상훈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  <cell r="AM120">
            <v>1</v>
          </cell>
          <cell r="AN120">
            <v>1</v>
          </cell>
          <cell r="AO120" t="str">
            <v>(4일)</v>
          </cell>
          <cell r="CP120">
            <v>1</v>
          </cell>
          <cell r="CQ120">
            <v>1</v>
          </cell>
          <cell r="CR120">
            <v>1</v>
          </cell>
          <cell r="CS120" t="str">
            <v>(2일)</v>
          </cell>
          <cell r="EG120">
            <v>3</v>
          </cell>
          <cell r="EH120">
            <v>3</v>
          </cell>
          <cell r="FD120">
            <v>12</v>
          </cell>
          <cell r="FE120">
            <v>0</v>
          </cell>
          <cell r="FF120">
            <v>2</v>
          </cell>
          <cell r="FG120">
            <v>6</v>
          </cell>
          <cell r="FH120">
            <v>2</v>
          </cell>
          <cell r="FI120">
            <v>8</v>
          </cell>
          <cell r="FJ120">
            <v>25</v>
          </cell>
          <cell r="FK120">
            <v>17</v>
          </cell>
          <cell r="FL120">
            <v>16</v>
          </cell>
          <cell r="FM120">
            <v>1</v>
          </cell>
          <cell r="FN120" t="str">
            <v>1</v>
          </cell>
          <cell r="FO120" t="str">
            <v>1</v>
          </cell>
          <cell r="FP120">
            <v>2</v>
          </cell>
          <cell r="FQ120" t="str">
            <v>21</v>
          </cell>
        </row>
        <row r="121">
          <cell r="F121" t="str">
            <v>서유선</v>
          </cell>
          <cell r="EE121">
            <v>3</v>
          </cell>
          <cell r="EF121">
            <v>3</v>
          </cell>
          <cell r="FD121">
            <v>6</v>
          </cell>
          <cell r="FE121">
            <v>0</v>
          </cell>
          <cell r="FF121">
            <v>2</v>
          </cell>
          <cell r="FG121">
            <v>0</v>
          </cell>
          <cell r="FH121">
            <v>5</v>
          </cell>
          <cell r="FI121">
            <v>5</v>
          </cell>
          <cell r="FJ121">
            <v>16</v>
          </cell>
          <cell r="FK121">
            <v>11</v>
          </cell>
          <cell r="FL121">
            <v>16</v>
          </cell>
          <cell r="FM121">
            <v>-5</v>
          </cell>
          <cell r="FN121" t="str">
            <v>0</v>
          </cell>
          <cell r="FO121" t="str">
            <v>1</v>
          </cell>
          <cell r="FP121">
            <v>1</v>
          </cell>
          <cell r="FQ121">
            <v>17</v>
          </cell>
        </row>
        <row r="122">
          <cell r="F122" t="str">
            <v>최용민</v>
          </cell>
          <cell r="CS122">
            <v>1</v>
          </cell>
          <cell r="CT122" t="str">
            <v>(1일)</v>
          </cell>
          <cell r="DO122">
            <v>3</v>
          </cell>
          <cell r="DP122">
            <v>3</v>
          </cell>
          <cell r="FD122">
            <v>7</v>
          </cell>
          <cell r="FE122">
            <v>0</v>
          </cell>
          <cell r="FF122">
            <v>3</v>
          </cell>
          <cell r="FG122">
            <v>1</v>
          </cell>
          <cell r="FH122">
            <v>4</v>
          </cell>
          <cell r="FI122">
            <v>5</v>
          </cell>
          <cell r="FJ122">
            <v>16</v>
          </cell>
          <cell r="FK122">
            <v>11</v>
          </cell>
          <cell r="FL122">
            <v>16</v>
          </cell>
          <cell r="FM122">
            <v>-5</v>
          </cell>
          <cell r="FN122" t="str">
            <v>0</v>
          </cell>
          <cell r="FO122" t="str">
            <v>1</v>
          </cell>
          <cell r="FP122">
            <v>1</v>
          </cell>
          <cell r="FQ122">
            <v>17</v>
          </cell>
        </row>
        <row r="123">
          <cell r="F123" t="str">
            <v>김주성</v>
          </cell>
          <cell r="CI123">
            <v>1</v>
          </cell>
          <cell r="CJ123">
            <v>1</v>
          </cell>
          <cell r="CK123">
            <v>1</v>
          </cell>
          <cell r="CL123" t="str">
            <v>(3일)</v>
          </cell>
          <cell r="DX123">
            <v>3</v>
          </cell>
          <cell r="DY123">
            <v>3</v>
          </cell>
          <cell r="FD123">
            <v>12</v>
          </cell>
          <cell r="FE123">
            <v>0</v>
          </cell>
          <cell r="FF123">
            <v>2</v>
          </cell>
          <cell r="FG123">
            <v>3</v>
          </cell>
          <cell r="FH123">
            <v>6</v>
          </cell>
          <cell r="FI123">
            <v>9</v>
          </cell>
          <cell r="FJ123">
            <v>16</v>
          </cell>
          <cell r="FK123">
            <v>7</v>
          </cell>
          <cell r="FL123">
            <v>16</v>
          </cell>
          <cell r="FM123">
            <v>-9</v>
          </cell>
          <cell r="FN123" t="str">
            <v>0</v>
          </cell>
          <cell r="FO123" t="str">
            <v>1</v>
          </cell>
          <cell r="FP123">
            <v>1</v>
          </cell>
          <cell r="FQ123">
            <v>17</v>
          </cell>
        </row>
        <row r="124">
          <cell r="F124" t="str">
            <v>박승우</v>
          </cell>
          <cell r="CI124">
            <v>1</v>
          </cell>
          <cell r="CJ124">
            <v>1</v>
          </cell>
          <cell r="CK124">
            <v>1</v>
          </cell>
          <cell r="CL124" t="str">
            <v>(3일)</v>
          </cell>
          <cell r="DQ124">
            <v>3</v>
          </cell>
          <cell r="DR124">
            <v>3</v>
          </cell>
          <cell r="FD124">
            <v>14</v>
          </cell>
          <cell r="FE124">
            <v>0</v>
          </cell>
          <cell r="FF124">
            <v>9</v>
          </cell>
          <cell r="FG124">
            <v>3</v>
          </cell>
          <cell r="FH124">
            <v>10</v>
          </cell>
          <cell r="FI124">
            <v>13</v>
          </cell>
          <cell r="FJ124">
            <v>16</v>
          </cell>
          <cell r="FK124">
            <v>3</v>
          </cell>
          <cell r="FL124">
            <v>16</v>
          </cell>
          <cell r="FM124">
            <v>-13</v>
          </cell>
          <cell r="FN124" t="str">
            <v>0</v>
          </cell>
          <cell r="FO124" t="str">
            <v>1</v>
          </cell>
          <cell r="FP124">
            <v>1</v>
          </cell>
          <cell r="FQ124">
            <v>17</v>
          </cell>
        </row>
        <row r="125">
          <cell r="F125" t="str">
            <v>안성준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 t="str">
            <v>(4일)</v>
          </cell>
          <cell r="BY125">
            <v>1</v>
          </cell>
          <cell r="BZ125">
            <v>1</v>
          </cell>
          <cell r="CA125">
            <v>1</v>
          </cell>
          <cell r="CB125" t="str">
            <v>(3일)</v>
          </cell>
          <cell r="DO125">
            <v>3</v>
          </cell>
          <cell r="DP125">
            <v>3</v>
          </cell>
          <cell r="FD125">
            <v>9</v>
          </cell>
          <cell r="FE125">
            <v>0</v>
          </cell>
          <cell r="FF125">
            <v>2</v>
          </cell>
          <cell r="FG125">
            <v>7</v>
          </cell>
          <cell r="FH125">
            <v>0</v>
          </cell>
          <cell r="FI125">
            <v>7</v>
          </cell>
          <cell r="FJ125">
            <v>16</v>
          </cell>
          <cell r="FK125">
            <v>9</v>
          </cell>
          <cell r="FL125">
            <v>16</v>
          </cell>
          <cell r="FM125">
            <v>-7</v>
          </cell>
          <cell r="FN125" t="str">
            <v>0</v>
          </cell>
          <cell r="FO125" t="str">
            <v>1</v>
          </cell>
          <cell r="FP125">
            <v>1</v>
          </cell>
          <cell r="FQ125">
            <v>17</v>
          </cell>
        </row>
        <row r="126">
          <cell r="F126" t="str">
            <v>김광수</v>
          </cell>
          <cell r="AT126">
            <v>1</v>
          </cell>
          <cell r="AU126" t="str">
            <v>(1일)</v>
          </cell>
          <cell r="BK126">
            <v>3</v>
          </cell>
          <cell r="BL126">
            <v>3</v>
          </cell>
          <cell r="CO126">
            <v>1</v>
          </cell>
          <cell r="CP126">
            <v>1</v>
          </cell>
          <cell r="CQ126">
            <v>1</v>
          </cell>
          <cell r="CR126" t="str">
            <v>(2일)</v>
          </cell>
          <cell r="DV126">
            <v>3</v>
          </cell>
          <cell r="DW126">
            <v>3</v>
          </cell>
          <cell r="FD126">
            <v>12</v>
          </cell>
          <cell r="FE126">
            <v>0</v>
          </cell>
          <cell r="FF126">
            <v>4</v>
          </cell>
          <cell r="FG126">
            <v>3</v>
          </cell>
          <cell r="FH126">
            <v>6</v>
          </cell>
          <cell r="FI126">
            <v>9</v>
          </cell>
          <cell r="FJ126">
            <v>25</v>
          </cell>
          <cell r="FK126">
            <v>16</v>
          </cell>
          <cell r="FL126">
            <v>16</v>
          </cell>
          <cell r="FM126">
            <v>0</v>
          </cell>
          <cell r="FN126" t="str">
            <v>0</v>
          </cell>
          <cell r="FO126" t="str">
            <v>1</v>
          </cell>
          <cell r="FP126">
            <v>1</v>
          </cell>
          <cell r="FQ126" t="str">
            <v>21</v>
          </cell>
        </row>
        <row r="127">
          <cell r="F127" t="str">
            <v>김병주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 t="str">
            <v>(3일)</v>
          </cell>
          <cell r="BY127">
            <v>1</v>
          </cell>
          <cell r="BZ127">
            <v>1</v>
          </cell>
          <cell r="CA127">
            <v>1</v>
          </cell>
          <cell r="CB127" t="str">
            <v>(2일)</v>
          </cell>
          <cell r="EE127">
            <v>3</v>
          </cell>
          <cell r="EF127">
            <v>3</v>
          </cell>
          <cell r="FD127">
            <v>12</v>
          </cell>
          <cell r="FE127">
            <v>0</v>
          </cell>
          <cell r="FF127">
            <v>2</v>
          </cell>
          <cell r="FG127">
            <v>5</v>
          </cell>
          <cell r="FH127">
            <v>2</v>
          </cell>
          <cell r="FI127">
            <v>7</v>
          </cell>
          <cell r="FJ127">
            <v>25</v>
          </cell>
          <cell r="FK127">
            <v>18</v>
          </cell>
          <cell r="FL127">
            <v>16</v>
          </cell>
          <cell r="FM127">
            <v>2</v>
          </cell>
          <cell r="FN127" t="str">
            <v>1</v>
          </cell>
          <cell r="FO127" t="str">
            <v>1</v>
          </cell>
          <cell r="FP127">
            <v>2</v>
          </cell>
          <cell r="FQ127" t="str">
            <v>21</v>
          </cell>
        </row>
        <row r="128">
          <cell r="F128" t="str">
            <v>김상용</v>
          </cell>
          <cell r="CF128">
            <v>1</v>
          </cell>
          <cell r="CG128">
            <v>1</v>
          </cell>
          <cell r="CH128">
            <v>1</v>
          </cell>
          <cell r="CI128" t="str">
            <v>(2일)</v>
          </cell>
          <cell r="DX128">
            <v>3</v>
          </cell>
          <cell r="DY128">
            <v>3</v>
          </cell>
          <cell r="EU128">
            <v>1</v>
          </cell>
          <cell r="EV128" t="str">
            <v>(1일)</v>
          </cell>
          <cell r="FD128">
            <v>13</v>
          </cell>
          <cell r="FE128">
            <v>1</v>
          </cell>
          <cell r="FF128">
            <v>2</v>
          </cell>
          <cell r="FG128">
            <v>3</v>
          </cell>
          <cell r="FH128">
            <v>6</v>
          </cell>
          <cell r="FI128">
            <v>9</v>
          </cell>
          <cell r="FJ128">
            <v>24</v>
          </cell>
          <cell r="FK128">
            <v>15</v>
          </cell>
          <cell r="FL128">
            <v>16</v>
          </cell>
          <cell r="FM128">
            <v>-1</v>
          </cell>
          <cell r="FN128" t="str">
            <v>0</v>
          </cell>
          <cell r="FO128" t="str">
            <v>0</v>
          </cell>
          <cell r="FP128">
            <v>0</v>
          </cell>
          <cell r="FQ128" t="str">
            <v>21</v>
          </cell>
        </row>
        <row r="129">
          <cell r="F129" t="str">
            <v>손호섭</v>
          </cell>
          <cell r="AL129">
            <v>1</v>
          </cell>
          <cell r="AM129">
            <v>1</v>
          </cell>
          <cell r="AN129">
            <v>1</v>
          </cell>
          <cell r="AO129" t="str">
            <v>(2일)</v>
          </cell>
          <cell r="BQ129">
            <v>1</v>
          </cell>
          <cell r="BR129">
            <v>1</v>
          </cell>
          <cell r="BS129" t="str">
            <v>(2일)</v>
          </cell>
          <cell r="CI129">
            <v>1</v>
          </cell>
          <cell r="CJ129">
            <v>1</v>
          </cell>
          <cell r="CK129">
            <v>1</v>
          </cell>
          <cell r="CL129" t="str">
            <v>(3일)</v>
          </cell>
          <cell r="DP129">
            <v>2</v>
          </cell>
          <cell r="DZ129">
            <v>3</v>
          </cell>
          <cell r="EA129">
            <v>3</v>
          </cell>
          <cell r="FD129">
            <v>11</v>
          </cell>
          <cell r="FE129">
            <v>1</v>
          </cell>
          <cell r="FF129">
            <v>2</v>
          </cell>
          <cell r="FG129">
            <v>7</v>
          </cell>
          <cell r="FH129">
            <v>2</v>
          </cell>
          <cell r="FI129">
            <v>9</v>
          </cell>
          <cell r="FJ129">
            <v>25</v>
          </cell>
          <cell r="FK129">
            <v>16</v>
          </cell>
          <cell r="FL129">
            <v>16</v>
          </cell>
          <cell r="FM129">
            <v>0</v>
          </cell>
          <cell r="FN129" t="str">
            <v>0</v>
          </cell>
          <cell r="FO129" t="str">
            <v>0</v>
          </cell>
          <cell r="FP129">
            <v>0</v>
          </cell>
          <cell r="FQ129" t="str">
            <v>21</v>
          </cell>
        </row>
        <row r="130">
          <cell r="F130" t="str">
            <v>조영웅</v>
          </cell>
          <cell r="N130">
            <v>1</v>
          </cell>
          <cell r="O130">
            <v>1</v>
          </cell>
          <cell r="P130">
            <v>1</v>
          </cell>
          <cell r="Q130">
            <v>1</v>
          </cell>
          <cell r="R130">
            <v>1</v>
          </cell>
          <cell r="S130">
            <v>1</v>
          </cell>
          <cell r="T130" t="str">
            <v>(4일)</v>
          </cell>
          <cell r="AX130">
            <v>2</v>
          </cell>
          <cell r="AY130">
            <v>2</v>
          </cell>
          <cell r="AZ130">
            <v>2</v>
          </cell>
          <cell r="BA130">
            <v>2</v>
          </cell>
          <cell r="BB130">
            <v>2</v>
          </cell>
          <cell r="BC130">
            <v>2</v>
          </cell>
          <cell r="BD130">
            <v>2</v>
          </cell>
          <cell r="BE130">
            <v>2</v>
          </cell>
          <cell r="BF130">
            <v>2</v>
          </cell>
          <cell r="BG130">
            <v>2</v>
          </cell>
          <cell r="BH130">
            <v>2</v>
          </cell>
          <cell r="BI130">
            <v>2</v>
          </cell>
          <cell r="BJ130">
            <v>2</v>
          </cell>
          <cell r="BK130">
            <v>2</v>
          </cell>
          <cell r="BL130">
            <v>2</v>
          </cell>
          <cell r="CF130">
            <v>1</v>
          </cell>
          <cell r="CG130">
            <v>1</v>
          </cell>
          <cell r="CH130">
            <v>1</v>
          </cell>
          <cell r="CI130" t="str">
            <v>(2일)</v>
          </cell>
          <cell r="DQ130">
            <v>3</v>
          </cell>
          <cell r="DR130">
            <v>3</v>
          </cell>
          <cell r="FD130">
            <v>12</v>
          </cell>
          <cell r="FE130">
            <v>15</v>
          </cell>
          <cell r="FF130">
            <v>2</v>
          </cell>
          <cell r="FG130">
            <v>6</v>
          </cell>
          <cell r="FH130">
            <v>2</v>
          </cell>
          <cell r="FI130">
            <v>8</v>
          </cell>
          <cell r="FJ130">
            <v>23</v>
          </cell>
          <cell r="FK130">
            <v>15</v>
          </cell>
          <cell r="FL130">
            <v>16</v>
          </cell>
          <cell r="FM130">
            <v>-1</v>
          </cell>
          <cell r="FN130" t="str">
            <v>0</v>
          </cell>
          <cell r="FO130" t="str">
            <v>0</v>
          </cell>
          <cell r="FP130">
            <v>0</v>
          </cell>
          <cell r="FQ130" t="str">
            <v>21</v>
          </cell>
        </row>
        <row r="131">
          <cell r="F131" t="str">
            <v>이병택</v>
          </cell>
          <cell r="Q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V131" t="str">
            <v>(4일)</v>
          </cell>
          <cell r="BN131">
            <v>3</v>
          </cell>
          <cell r="BO131">
            <v>3</v>
          </cell>
          <cell r="BP131">
            <v>3</v>
          </cell>
          <cell r="CI131">
            <v>1</v>
          </cell>
          <cell r="CJ131">
            <v>1</v>
          </cell>
          <cell r="CK131">
            <v>1</v>
          </cell>
          <cell r="CL131" t="str">
            <v>(1일)</v>
          </cell>
          <cell r="EY131" t="str">
            <v>(2일)</v>
          </cell>
          <cell r="EZ131">
            <v>1</v>
          </cell>
          <cell r="FA131">
            <v>1</v>
          </cell>
          <cell r="FB131">
            <v>1</v>
          </cell>
          <cell r="FD131">
            <v>11</v>
          </cell>
          <cell r="FE131">
            <v>1</v>
          </cell>
          <cell r="FF131">
            <v>3</v>
          </cell>
          <cell r="FG131">
            <v>7</v>
          </cell>
          <cell r="FH131">
            <v>0</v>
          </cell>
          <cell r="FI131">
            <v>7</v>
          </cell>
          <cell r="FJ131">
            <v>25</v>
          </cell>
          <cell r="FK131">
            <v>18</v>
          </cell>
          <cell r="FL131">
            <v>16</v>
          </cell>
          <cell r="FM131">
            <v>2</v>
          </cell>
          <cell r="FN131" t="str">
            <v>1</v>
          </cell>
          <cell r="FO131" t="str">
            <v>0</v>
          </cell>
          <cell r="FP131">
            <v>1</v>
          </cell>
          <cell r="FQ131" t="str">
            <v>21</v>
          </cell>
        </row>
        <row r="132">
          <cell r="F132" t="str">
            <v>김동순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 t="str">
            <v>(3일)</v>
          </cell>
          <cell r="BU132">
            <v>1</v>
          </cell>
          <cell r="BV132">
            <v>1</v>
          </cell>
          <cell r="BW132">
            <v>1</v>
          </cell>
          <cell r="BX132" t="str">
            <v>(3일)</v>
          </cell>
          <cell r="DX132">
            <v>3</v>
          </cell>
          <cell r="DY132">
            <v>3</v>
          </cell>
          <cell r="FD132">
            <v>10</v>
          </cell>
          <cell r="FE132">
            <v>0</v>
          </cell>
          <cell r="FF132">
            <v>2</v>
          </cell>
          <cell r="FG132">
            <v>6</v>
          </cell>
          <cell r="FH132">
            <v>2</v>
          </cell>
          <cell r="FI132">
            <v>8</v>
          </cell>
          <cell r="FJ132">
            <v>24</v>
          </cell>
          <cell r="FK132">
            <v>16</v>
          </cell>
          <cell r="FL132">
            <v>16</v>
          </cell>
          <cell r="FM132">
            <v>0</v>
          </cell>
          <cell r="FN132" t="str">
            <v>0</v>
          </cell>
          <cell r="FO132" t="str">
            <v>1</v>
          </cell>
          <cell r="FP132">
            <v>1</v>
          </cell>
          <cell r="FQ132" t="str">
            <v>21</v>
          </cell>
        </row>
        <row r="133">
          <cell r="F133" t="str">
            <v>김영일</v>
          </cell>
          <cell r="U133">
            <v>1</v>
          </cell>
          <cell r="V133">
            <v>1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 t="str">
            <v>(3일)</v>
          </cell>
          <cell r="BI133">
            <v>3</v>
          </cell>
          <cell r="CM133">
            <v>1</v>
          </cell>
          <cell r="CN133">
            <v>1</v>
          </cell>
          <cell r="CO133">
            <v>1</v>
          </cell>
          <cell r="CP133" t="str">
            <v>(3일)</v>
          </cell>
          <cell r="DO133">
            <v>3</v>
          </cell>
          <cell r="DP133">
            <v>3</v>
          </cell>
          <cell r="DY133">
            <v>3</v>
          </cell>
          <cell r="DZ133">
            <v>3</v>
          </cell>
          <cell r="EA133">
            <v>3</v>
          </cell>
          <cell r="FD133">
            <v>12</v>
          </cell>
          <cell r="FE133">
            <v>0</v>
          </cell>
          <cell r="FF133">
            <v>7</v>
          </cell>
          <cell r="FG133">
            <v>6</v>
          </cell>
          <cell r="FH133">
            <v>3</v>
          </cell>
          <cell r="FI133">
            <v>9</v>
          </cell>
          <cell r="FJ133">
            <v>23</v>
          </cell>
          <cell r="FK133">
            <v>14</v>
          </cell>
          <cell r="FL133">
            <v>16</v>
          </cell>
          <cell r="FM133">
            <v>-2</v>
          </cell>
          <cell r="FN133" t="str">
            <v>0</v>
          </cell>
          <cell r="FO133" t="str">
            <v>1</v>
          </cell>
          <cell r="FP133">
            <v>1</v>
          </cell>
          <cell r="FQ133" t="str">
            <v>21</v>
          </cell>
        </row>
        <row r="134">
          <cell r="F134" t="str">
            <v>김종철</v>
          </cell>
          <cell r="G134">
            <v>1</v>
          </cell>
          <cell r="H134">
            <v>1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 t="str">
            <v>(5일)</v>
          </cell>
          <cell r="BY134">
            <v>1</v>
          </cell>
          <cell r="BZ134">
            <v>1</v>
          </cell>
          <cell r="CA134">
            <v>1</v>
          </cell>
          <cell r="CB134" t="str">
            <v>(2일)</v>
          </cell>
          <cell r="DV134">
            <v>3</v>
          </cell>
          <cell r="DW134">
            <v>3</v>
          </cell>
          <cell r="EU134">
            <v>2</v>
          </cell>
          <cell r="FD134">
            <v>12</v>
          </cell>
          <cell r="FE134">
            <v>1</v>
          </cell>
          <cell r="FF134">
            <v>2</v>
          </cell>
          <cell r="FG134">
            <v>7</v>
          </cell>
          <cell r="FH134">
            <v>2</v>
          </cell>
          <cell r="FI134">
            <v>9</v>
          </cell>
          <cell r="FJ134">
            <v>23</v>
          </cell>
          <cell r="FK134">
            <v>14</v>
          </cell>
          <cell r="FL134">
            <v>16</v>
          </cell>
          <cell r="FM134">
            <v>-2</v>
          </cell>
          <cell r="FN134" t="str">
            <v>0</v>
          </cell>
          <cell r="FO134" t="str">
            <v>0</v>
          </cell>
          <cell r="FP134">
            <v>0</v>
          </cell>
          <cell r="FQ134" t="str">
            <v>21</v>
          </cell>
        </row>
        <row r="135">
          <cell r="F135" t="str">
            <v>김홍규</v>
          </cell>
          <cell r="AB135">
            <v>1</v>
          </cell>
          <cell r="AC135" t="str">
            <v>(1일)</v>
          </cell>
          <cell r="AK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 t="str">
            <v>(5일)</v>
          </cell>
          <cell r="AY135">
            <v>3</v>
          </cell>
          <cell r="CI135">
            <v>1</v>
          </cell>
          <cell r="CJ135">
            <v>1</v>
          </cell>
          <cell r="CK135">
            <v>1</v>
          </cell>
          <cell r="CL135" t="str">
            <v>(2일)</v>
          </cell>
          <cell r="DO135">
            <v>1</v>
          </cell>
          <cell r="DP135">
            <v>1</v>
          </cell>
          <cell r="DQ135">
            <v>1</v>
          </cell>
          <cell r="DR135" t="str">
            <v>(2일)</v>
          </cell>
          <cell r="EC135">
            <v>3</v>
          </cell>
          <cell r="ED135">
            <v>3</v>
          </cell>
          <cell r="EV135">
            <v>1</v>
          </cell>
          <cell r="EW135">
            <v>1</v>
          </cell>
          <cell r="EX135" t="str">
            <v>(2일)</v>
          </cell>
          <cell r="FD135">
            <v>15</v>
          </cell>
          <cell r="FE135">
            <v>0</v>
          </cell>
          <cell r="FF135">
            <v>3</v>
          </cell>
          <cell r="FG135">
            <v>12</v>
          </cell>
          <cell r="FH135">
            <v>0</v>
          </cell>
          <cell r="FI135">
            <v>12</v>
          </cell>
          <cell r="FJ135">
            <v>25</v>
          </cell>
          <cell r="FK135">
            <v>13</v>
          </cell>
          <cell r="FL135">
            <v>16</v>
          </cell>
          <cell r="FM135">
            <v>-3</v>
          </cell>
          <cell r="FN135" t="str">
            <v>0</v>
          </cell>
          <cell r="FO135" t="str">
            <v>1</v>
          </cell>
          <cell r="FP135">
            <v>1</v>
          </cell>
          <cell r="FQ135" t="str">
            <v>21</v>
          </cell>
        </row>
        <row r="136">
          <cell r="F136" t="str">
            <v>정화준</v>
          </cell>
          <cell r="K136">
            <v>3</v>
          </cell>
          <cell r="L136">
            <v>3</v>
          </cell>
          <cell r="M136">
            <v>3</v>
          </cell>
          <cell r="AD136">
            <v>2</v>
          </cell>
          <cell r="AF136">
            <v>2</v>
          </cell>
          <cell r="CE136">
            <v>3</v>
          </cell>
          <cell r="CX136">
            <v>1</v>
          </cell>
          <cell r="CY136">
            <v>1</v>
          </cell>
          <cell r="CZ136">
            <v>1</v>
          </cell>
          <cell r="DA136" t="str">
            <v>(2일)</v>
          </cell>
          <cell r="DX136">
            <v>3</v>
          </cell>
          <cell r="DY136">
            <v>3</v>
          </cell>
          <cell r="FD136">
            <v>13</v>
          </cell>
          <cell r="FE136">
            <v>2</v>
          </cell>
          <cell r="FF136">
            <v>6</v>
          </cell>
          <cell r="FG136">
            <v>2</v>
          </cell>
          <cell r="FH136">
            <v>8</v>
          </cell>
          <cell r="FI136">
            <v>10</v>
          </cell>
          <cell r="FJ136">
            <v>24</v>
          </cell>
          <cell r="FK136">
            <v>14</v>
          </cell>
          <cell r="FL136">
            <v>16</v>
          </cell>
          <cell r="FM136">
            <v>-2</v>
          </cell>
          <cell r="FN136" t="str">
            <v>0</v>
          </cell>
          <cell r="FO136" t="str">
            <v>0</v>
          </cell>
          <cell r="FP136">
            <v>0</v>
          </cell>
          <cell r="FQ136" t="str">
            <v>21</v>
          </cell>
        </row>
        <row r="137">
          <cell r="F137" t="str">
            <v>김한진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 t="str">
            <v>(5일)</v>
          </cell>
          <cell r="CP137">
            <v>1</v>
          </cell>
          <cell r="CQ137">
            <v>1</v>
          </cell>
          <cell r="CR137">
            <v>1</v>
          </cell>
          <cell r="CS137" t="str">
            <v>(1일)</v>
          </cell>
          <cell r="EC137">
            <v>3</v>
          </cell>
          <cell r="ED137">
            <v>3</v>
          </cell>
          <cell r="FD137">
            <v>13</v>
          </cell>
          <cell r="FE137">
            <v>0</v>
          </cell>
          <cell r="FF137">
            <v>5</v>
          </cell>
          <cell r="FG137">
            <v>6</v>
          </cell>
          <cell r="FH137">
            <v>3</v>
          </cell>
          <cell r="FI137">
            <v>9</v>
          </cell>
          <cell r="FJ137">
            <v>25</v>
          </cell>
          <cell r="FK137">
            <v>16</v>
          </cell>
          <cell r="FL137">
            <v>16</v>
          </cell>
          <cell r="FM137">
            <v>0</v>
          </cell>
          <cell r="FN137" t="str">
            <v>0</v>
          </cell>
          <cell r="FO137" t="str">
            <v>1</v>
          </cell>
          <cell r="FP137">
            <v>1</v>
          </cell>
          <cell r="FQ137" t="str">
            <v>21</v>
          </cell>
        </row>
        <row r="138">
          <cell r="F138" t="str">
            <v>이상능</v>
          </cell>
          <cell r="CI138">
            <v>1</v>
          </cell>
          <cell r="CJ138">
            <v>1</v>
          </cell>
          <cell r="CK138">
            <v>1</v>
          </cell>
          <cell r="CL138" t="str">
            <v>(2일)</v>
          </cell>
          <cell r="DX138">
            <v>3</v>
          </cell>
          <cell r="DY138">
            <v>3</v>
          </cell>
          <cell r="FD138">
            <v>12</v>
          </cell>
          <cell r="FE138">
            <v>0</v>
          </cell>
          <cell r="FF138">
            <v>2</v>
          </cell>
          <cell r="FG138">
            <v>2</v>
          </cell>
          <cell r="FH138">
            <v>7</v>
          </cell>
          <cell r="FI138">
            <v>9</v>
          </cell>
          <cell r="FJ138">
            <v>16</v>
          </cell>
          <cell r="FK138">
            <v>7</v>
          </cell>
          <cell r="FL138">
            <v>16</v>
          </cell>
          <cell r="FM138">
            <v>-9</v>
          </cell>
          <cell r="FN138" t="str">
            <v>0</v>
          </cell>
          <cell r="FO138" t="str">
            <v>1</v>
          </cell>
          <cell r="FP138">
            <v>1</v>
          </cell>
          <cell r="FQ138">
            <v>17</v>
          </cell>
        </row>
        <row r="139">
          <cell r="F139" t="str">
            <v>정대성</v>
          </cell>
          <cell r="CB139">
            <v>1</v>
          </cell>
          <cell r="CC139">
            <v>1</v>
          </cell>
          <cell r="CD139" t="str">
            <v>(2일)</v>
          </cell>
          <cell r="DS139">
            <v>3</v>
          </cell>
          <cell r="DT139">
            <v>3</v>
          </cell>
          <cell r="FD139">
            <v>11</v>
          </cell>
          <cell r="FE139">
            <v>0</v>
          </cell>
          <cell r="FF139">
            <v>2</v>
          </cell>
          <cell r="FG139">
            <v>2</v>
          </cell>
          <cell r="FH139">
            <v>6</v>
          </cell>
          <cell r="FI139">
            <v>8</v>
          </cell>
          <cell r="FJ139">
            <v>16</v>
          </cell>
          <cell r="FK139">
            <v>8</v>
          </cell>
          <cell r="FL139">
            <v>16</v>
          </cell>
          <cell r="FM139">
            <v>-8</v>
          </cell>
          <cell r="FN139" t="str">
            <v>0</v>
          </cell>
          <cell r="FO139" t="str">
            <v>1</v>
          </cell>
          <cell r="FP139">
            <v>1</v>
          </cell>
          <cell r="FQ139">
            <v>17</v>
          </cell>
        </row>
        <row r="140">
          <cell r="F140" t="str">
            <v>박종곤</v>
          </cell>
          <cell r="CW140">
            <v>1</v>
          </cell>
          <cell r="CX140">
            <v>1</v>
          </cell>
          <cell r="CY140">
            <v>1</v>
          </cell>
          <cell r="CZ140" t="str">
            <v>(2일)</v>
          </cell>
          <cell r="DZ140">
            <v>3</v>
          </cell>
          <cell r="EA140">
            <v>3</v>
          </cell>
          <cell r="FD140">
            <v>9</v>
          </cell>
          <cell r="FE140">
            <v>0</v>
          </cell>
          <cell r="FF140">
            <v>2</v>
          </cell>
          <cell r="FG140">
            <v>2</v>
          </cell>
          <cell r="FH140">
            <v>4</v>
          </cell>
          <cell r="FI140">
            <v>6</v>
          </cell>
          <cell r="FJ140">
            <v>16</v>
          </cell>
          <cell r="FK140">
            <v>10</v>
          </cell>
          <cell r="FL140">
            <v>16</v>
          </cell>
          <cell r="FM140">
            <v>-6</v>
          </cell>
          <cell r="FN140" t="str">
            <v>0</v>
          </cell>
          <cell r="FO140" t="str">
            <v>1</v>
          </cell>
          <cell r="FP140">
            <v>1</v>
          </cell>
          <cell r="FQ140">
            <v>17</v>
          </cell>
        </row>
        <row r="141">
          <cell r="F141" t="str">
            <v>서석윤</v>
          </cell>
          <cell r="N141">
            <v>3</v>
          </cell>
          <cell r="O141">
            <v>3</v>
          </cell>
          <cell r="P141">
            <v>3</v>
          </cell>
          <cell r="Q141">
            <v>3</v>
          </cell>
          <cell r="R141">
            <v>3</v>
          </cell>
          <cell r="BR141">
            <v>1</v>
          </cell>
          <cell r="BS141">
            <v>1</v>
          </cell>
          <cell r="BT141">
            <v>1</v>
          </cell>
          <cell r="BU141" t="str">
            <v>(2일)</v>
          </cell>
          <cell r="DS141">
            <v>3</v>
          </cell>
          <cell r="DT141">
            <v>3</v>
          </cell>
          <cell r="FD141">
            <v>9</v>
          </cell>
          <cell r="FE141">
            <v>0</v>
          </cell>
          <cell r="FF141">
            <v>7</v>
          </cell>
          <cell r="FG141">
            <v>2</v>
          </cell>
          <cell r="FH141">
            <v>4</v>
          </cell>
          <cell r="FI141">
            <v>6</v>
          </cell>
          <cell r="FJ141">
            <v>16</v>
          </cell>
          <cell r="FK141">
            <v>10</v>
          </cell>
          <cell r="FL141">
            <v>16</v>
          </cell>
          <cell r="FM141">
            <v>-6</v>
          </cell>
          <cell r="FN141" t="str">
            <v>0</v>
          </cell>
          <cell r="FO141" t="str">
            <v>1</v>
          </cell>
          <cell r="FP141">
            <v>1</v>
          </cell>
          <cell r="FQ141">
            <v>17</v>
          </cell>
        </row>
        <row r="142">
          <cell r="F142" t="str">
            <v>국승택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  <cell r="N142" t="str">
            <v>(4일)</v>
          </cell>
          <cell r="CL142">
            <v>1</v>
          </cell>
          <cell r="CM142">
            <v>1</v>
          </cell>
          <cell r="CN142">
            <v>1</v>
          </cell>
          <cell r="CO142" t="str">
            <v>(2일)</v>
          </cell>
          <cell r="EE142">
            <v>3</v>
          </cell>
          <cell r="EF142">
            <v>3</v>
          </cell>
          <cell r="FD142">
            <v>14</v>
          </cell>
          <cell r="FE142">
            <v>1</v>
          </cell>
          <cell r="FF142">
            <v>2</v>
          </cell>
          <cell r="FG142">
            <v>6</v>
          </cell>
          <cell r="FH142">
            <v>5</v>
          </cell>
          <cell r="FI142">
            <v>11</v>
          </cell>
          <cell r="FJ142">
            <v>23</v>
          </cell>
          <cell r="FK142">
            <v>12</v>
          </cell>
          <cell r="FL142">
            <v>16</v>
          </cell>
          <cell r="FM142">
            <v>-4</v>
          </cell>
          <cell r="FN142" t="str">
            <v>0</v>
          </cell>
          <cell r="FO142" t="str">
            <v>0</v>
          </cell>
          <cell r="FP142">
            <v>0</v>
          </cell>
          <cell r="FQ142" t="str">
            <v>21</v>
          </cell>
        </row>
        <row r="143">
          <cell r="F143" t="str">
            <v>김봉환</v>
          </cell>
          <cell r="AV143">
            <v>1</v>
          </cell>
          <cell r="AW143">
            <v>1</v>
          </cell>
          <cell r="AX143">
            <v>1</v>
          </cell>
          <cell r="AY143" t="str">
            <v>(3일)</v>
          </cell>
          <cell r="CF143">
            <v>1</v>
          </cell>
          <cell r="CG143">
            <v>1</v>
          </cell>
          <cell r="CH143">
            <v>1</v>
          </cell>
          <cell r="CI143" t="str">
            <v>(3일)</v>
          </cell>
          <cell r="DS143">
            <v>3</v>
          </cell>
          <cell r="DT143">
            <v>3</v>
          </cell>
          <cell r="EK143">
            <v>3</v>
          </cell>
          <cell r="EL143">
            <v>3</v>
          </cell>
          <cell r="EM143">
            <v>3</v>
          </cell>
          <cell r="EN143">
            <v>3</v>
          </cell>
          <cell r="FD143">
            <v>10</v>
          </cell>
          <cell r="FE143">
            <v>0</v>
          </cell>
          <cell r="FF143">
            <v>9</v>
          </cell>
          <cell r="FG143">
            <v>6</v>
          </cell>
          <cell r="FH143">
            <v>3</v>
          </cell>
          <cell r="FI143">
            <v>9</v>
          </cell>
          <cell r="FJ143">
            <v>25</v>
          </cell>
          <cell r="FK143">
            <v>16</v>
          </cell>
          <cell r="FL143">
            <v>16</v>
          </cell>
          <cell r="FM143">
            <v>0</v>
          </cell>
          <cell r="FN143" t="str">
            <v>0</v>
          </cell>
          <cell r="FO143" t="str">
            <v>1</v>
          </cell>
          <cell r="FP143">
            <v>1</v>
          </cell>
          <cell r="FQ143" t="str">
            <v>21</v>
          </cell>
        </row>
        <row r="144">
          <cell r="F144" t="str">
            <v>김종민</v>
          </cell>
          <cell r="BU144">
            <v>1</v>
          </cell>
          <cell r="BV144">
            <v>1</v>
          </cell>
          <cell r="BW144">
            <v>1</v>
          </cell>
          <cell r="BX144" t="str">
            <v>(2일)</v>
          </cell>
          <cell r="DQ144">
            <v>2</v>
          </cell>
          <cell r="DS144">
            <v>3</v>
          </cell>
          <cell r="DT144">
            <v>3</v>
          </cell>
          <cell r="EG144">
            <v>3</v>
          </cell>
          <cell r="EH144">
            <v>3</v>
          </cell>
          <cell r="EI144">
            <v>3</v>
          </cell>
          <cell r="EJ144">
            <v>3</v>
          </cell>
          <cell r="EK144">
            <v>3</v>
          </cell>
          <cell r="EL144">
            <v>3</v>
          </cell>
          <cell r="EM144">
            <v>3</v>
          </cell>
          <cell r="FD144">
            <v>12</v>
          </cell>
          <cell r="FE144">
            <v>1</v>
          </cell>
          <cell r="FF144">
            <v>9</v>
          </cell>
          <cell r="FG144">
            <v>2</v>
          </cell>
          <cell r="FH144">
            <v>7</v>
          </cell>
          <cell r="FI144">
            <v>9</v>
          </cell>
          <cell r="FJ144">
            <v>23</v>
          </cell>
          <cell r="FK144">
            <v>14</v>
          </cell>
          <cell r="FL144">
            <v>16</v>
          </cell>
          <cell r="FM144">
            <v>-2</v>
          </cell>
          <cell r="FN144" t="str">
            <v>0</v>
          </cell>
          <cell r="FO144" t="str">
            <v>0</v>
          </cell>
          <cell r="FP144">
            <v>0</v>
          </cell>
          <cell r="FQ144" t="str">
            <v>21</v>
          </cell>
        </row>
        <row r="145">
          <cell r="F145" t="str">
            <v>박선식</v>
          </cell>
          <cell r="R145">
            <v>1</v>
          </cell>
          <cell r="S145">
            <v>1</v>
          </cell>
          <cell r="T145">
            <v>1</v>
          </cell>
          <cell r="U145" t="str">
            <v>(1일)</v>
          </cell>
          <cell r="CL145">
            <v>1</v>
          </cell>
          <cell r="CM145">
            <v>1</v>
          </cell>
          <cell r="CN145">
            <v>1</v>
          </cell>
          <cell r="CO145" t="str">
            <v>(1일)</v>
          </cell>
          <cell r="EC145">
            <v>3</v>
          </cell>
          <cell r="ED145">
            <v>3</v>
          </cell>
          <cell r="FD145">
            <v>10</v>
          </cell>
          <cell r="FE145">
            <v>2</v>
          </cell>
          <cell r="FF145">
            <v>2</v>
          </cell>
          <cell r="FG145">
            <v>1</v>
          </cell>
          <cell r="FH145">
            <v>3</v>
          </cell>
          <cell r="FI145">
            <v>4</v>
          </cell>
          <cell r="FJ145">
            <v>23</v>
          </cell>
          <cell r="FK145">
            <v>19</v>
          </cell>
          <cell r="FL145">
            <v>16</v>
          </cell>
          <cell r="FM145">
            <v>3</v>
          </cell>
          <cell r="FN145" t="str">
            <v>1</v>
          </cell>
          <cell r="FO145" t="str">
            <v>0</v>
          </cell>
          <cell r="FP145">
            <v>1</v>
          </cell>
          <cell r="FQ145" t="str">
            <v>21</v>
          </cell>
        </row>
        <row r="146">
          <cell r="F146" t="str">
            <v>박춘환</v>
          </cell>
          <cell r="W146">
            <v>1</v>
          </cell>
          <cell r="X146" t="str">
            <v>(1일)</v>
          </cell>
          <cell r="BY146">
            <v>1</v>
          </cell>
          <cell r="BZ146">
            <v>1</v>
          </cell>
          <cell r="CA146">
            <v>1</v>
          </cell>
          <cell r="CB146" t="str">
            <v>(2일)</v>
          </cell>
          <cell r="DO146">
            <v>3</v>
          </cell>
          <cell r="DP146">
            <v>3</v>
          </cell>
          <cell r="FD146">
            <v>12</v>
          </cell>
          <cell r="FE146">
            <v>1</v>
          </cell>
          <cell r="FF146">
            <v>11</v>
          </cell>
          <cell r="FG146">
            <v>3</v>
          </cell>
          <cell r="FH146">
            <v>7</v>
          </cell>
          <cell r="FI146">
            <v>10</v>
          </cell>
          <cell r="FJ146">
            <v>24</v>
          </cell>
          <cell r="FK146">
            <v>14</v>
          </cell>
          <cell r="FL146">
            <v>16</v>
          </cell>
          <cell r="FM146">
            <v>-2</v>
          </cell>
          <cell r="FN146" t="str">
            <v>0</v>
          </cell>
          <cell r="FO146" t="str">
            <v>0</v>
          </cell>
          <cell r="FP146">
            <v>0</v>
          </cell>
          <cell r="FQ146" t="str">
            <v>21</v>
          </cell>
        </row>
        <row r="147">
          <cell r="F147" t="str">
            <v>조만원</v>
          </cell>
          <cell r="AG147">
            <v>1</v>
          </cell>
          <cell r="AH147" t="str">
            <v>(1일)</v>
          </cell>
          <cell r="BY147">
            <v>3</v>
          </cell>
          <cell r="CF147">
            <v>1</v>
          </cell>
          <cell r="CG147">
            <v>1</v>
          </cell>
          <cell r="CH147">
            <v>1</v>
          </cell>
          <cell r="CI147" t="str">
            <v>(3일)</v>
          </cell>
          <cell r="EC147">
            <v>3</v>
          </cell>
          <cell r="ED147">
            <v>3</v>
          </cell>
          <cell r="EN147">
            <v>3</v>
          </cell>
          <cell r="EQ147">
            <v>3</v>
          </cell>
          <cell r="ER147">
            <v>3</v>
          </cell>
          <cell r="ES147">
            <v>3</v>
          </cell>
          <cell r="ET147">
            <v>3</v>
          </cell>
          <cell r="EU147">
            <v>3</v>
          </cell>
          <cell r="EV147">
            <v>3</v>
          </cell>
          <cell r="EW147">
            <v>3</v>
          </cell>
          <cell r="FD147">
            <v>12</v>
          </cell>
          <cell r="FE147">
            <v>2</v>
          </cell>
          <cell r="FF147">
            <v>21</v>
          </cell>
          <cell r="FG147">
            <v>4</v>
          </cell>
          <cell r="FH147">
            <v>8</v>
          </cell>
          <cell r="FI147">
            <v>12</v>
          </cell>
          <cell r="FJ147">
            <v>23</v>
          </cell>
          <cell r="FK147">
            <v>11</v>
          </cell>
          <cell r="FL147">
            <v>16</v>
          </cell>
          <cell r="FM147">
            <v>-5</v>
          </cell>
          <cell r="FN147" t="str">
            <v>0</v>
          </cell>
          <cell r="FO147" t="str">
            <v>0</v>
          </cell>
          <cell r="FP147">
            <v>0</v>
          </cell>
          <cell r="FQ147" t="str">
            <v>21</v>
          </cell>
        </row>
        <row r="148">
          <cell r="F148" t="str">
            <v>이유근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1</v>
          </cell>
          <cell r="N148" t="str">
            <v>(4일)</v>
          </cell>
          <cell r="BX148" t="str">
            <v>3시간</v>
          </cell>
          <cell r="CT148">
            <v>1</v>
          </cell>
          <cell r="CU148">
            <v>1</v>
          </cell>
          <cell r="CV148">
            <v>1</v>
          </cell>
          <cell r="CW148" t="str">
            <v>(2일)</v>
          </cell>
          <cell r="EC148">
            <v>3</v>
          </cell>
          <cell r="ED148">
            <v>3</v>
          </cell>
          <cell r="FD148">
            <v>11</v>
          </cell>
          <cell r="FE148">
            <v>0</v>
          </cell>
          <cell r="FF148">
            <v>2</v>
          </cell>
          <cell r="FG148">
            <v>6</v>
          </cell>
          <cell r="FH148">
            <v>2</v>
          </cell>
          <cell r="FI148">
            <v>8</v>
          </cell>
          <cell r="FJ148">
            <v>25</v>
          </cell>
          <cell r="FK148">
            <v>17</v>
          </cell>
          <cell r="FL148">
            <v>16</v>
          </cell>
          <cell r="FM148">
            <v>1</v>
          </cell>
          <cell r="FN148" t="str">
            <v>1</v>
          </cell>
          <cell r="FO148" t="str">
            <v>1</v>
          </cell>
          <cell r="FP148">
            <v>2</v>
          </cell>
          <cell r="FQ148" t="str">
            <v>21</v>
          </cell>
        </row>
        <row r="149">
          <cell r="F149" t="str">
            <v>문태호</v>
          </cell>
          <cell r="N149">
            <v>1</v>
          </cell>
          <cell r="O149">
            <v>1</v>
          </cell>
          <cell r="P149">
            <v>1</v>
          </cell>
          <cell r="Q149">
            <v>1</v>
          </cell>
          <cell r="R149">
            <v>1</v>
          </cell>
          <cell r="S149">
            <v>1</v>
          </cell>
          <cell r="T149" t="str">
            <v>(4일)</v>
          </cell>
          <cell r="CM149">
            <v>1</v>
          </cell>
          <cell r="CN149">
            <v>1</v>
          </cell>
          <cell r="CO149">
            <v>1</v>
          </cell>
          <cell r="CP149" t="str">
            <v>(2일)</v>
          </cell>
          <cell r="EG149">
            <v>3</v>
          </cell>
          <cell r="EH149">
            <v>3</v>
          </cell>
          <cell r="EI149">
            <v>1</v>
          </cell>
          <cell r="EJ149" t="str">
            <v>(1일)</v>
          </cell>
          <cell r="FD149">
            <v>13</v>
          </cell>
          <cell r="FE149">
            <v>12</v>
          </cell>
          <cell r="FF149">
            <v>2</v>
          </cell>
          <cell r="FG149">
            <v>7</v>
          </cell>
          <cell r="FH149">
            <v>2</v>
          </cell>
          <cell r="FI149">
            <v>9</v>
          </cell>
          <cell r="FJ149">
            <v>25</v>
          </cell>
          <cell r="FK149">
            <v>16</v>
          </cell>
          <cell r="FL149">
            <v>16</v>
          </cell>
          <cell r="FM149">
            <v>0</v>
          </cell>
          <cell r="FN149" t="str">
            <v>0</v>
          </cell>
          <cell r="FO149" t="str">
            <v>0</v>
          </cell>
          <cell r="FP149">
            <v>0</v>
          </cell>
          <cell r="FQ149" t="str">
            <v>21</v>
          </cell>
        </row>
        <row r="150">
          <cell r="F150" t="str">
            <v>서재환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 t="str">
            <v>(4일)</v>
          </cell>
          <cell r="CT150">
            <v>1</v>
          </cell>
          <cell r="CU150">
            <v>1</v>
          </cell>
          <cell r="CV150">
            <v>1</v>
          </cell>
          <cell r="CW150" t="str">
            <v>(2일)</v>
          </cell>
          <cell r="DS150">
            <v>3</v>
          </cell>
          <cell r="DT150">
            <v>3</v>
          </cell>
          <cell r="FD150">
            <v>11</v>
          </cell>
          <cell r="FE150">
            <v>2</v>
          </cell>
          <cell r="FF150">
            <v>2</v>
          </cell>
          <cell r="FG150">
            <v>6</v>
          </cell>
          <cell r="FH150">
            <v>1</v>
          </cell>
          <cell r="FI150">
            <v>7</v>
          </cell>
          <cell r="FJ150">
            <v>25</v>
          </cell>
          <cell r="FK150">
            <v>18</v>
          </cell>
          <cell r="FL150">
            <v>16</v>
          </cell>
          <cell r="FM150">
            <v>2</v>
          </cell>
          <cell r="FN150" t="str">
            <v>1</v>
          </cell>
          <cell r="FO150" t="str">
            <v>0</v>
          </cell>
          <cell r="FP150">
            <v>1</v>
          </cell>
          <cell r="FQ150" t="str">
            <v>21</v>
          </cell>
        </row>
        <row r="151">
          <cell r="F151" t="str">
            <v>차해영</v>
          </cell>
          <cell r="BY151">
            <v>1</v>
          </cell>
          <cell r="BZ151">
            <v>1</v>
          </cell>
          <cell r="CA151">
            <v>1</v>
          </cell>
          <cell r="CB151" t="str">
            <v>(2일)</v>
          </cell>
          <cell r="EG151">
            <v>3</v>
          </cell>
          <cell r="EH151">
            <v>3</v>
          </cell>
          <cell r="FD151">
            <v>12</v>
          </cell>
          <cell r="FE151">
            <v>0</v>
          </cell>
          <cell r="FF151">
            <v>6</v>
          </cell>
          <cell r="FG151">
            <v>2</v>
          </cell>
          <cell r="FH151">
            <v>7</v>
          </cell>
          <cell r="FI151">
            <v>9</v>
          </cell>
          <cell r="FJ151">
            <v>24</v>
          </cell>
          <cell r="FK151">
            <v>15</v>
          </cell>
          <cell r="FL151">
            <v>16</v>
          </cell>
          <cell r="FM151">
            <v>-1</v>
          </cell>
          <cell r="FN151" t="str">
            <v>0</v>
          </cell>
          <cell r="FO151" t="str">
            <v>1</v>
          </cell>
          <cell r="FP151">
            <v>1</v>
          </cell>
          <cell r="FQ151" t="str">
            <v>21</v>
          </cell>
        </row>
        <row r="152">
          <cell r="F152" t="str">
            <v>김종무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 t="str">
            <v>(5일)</v>
          </cell>
          <cell r="CB152">
            <v>1</v>
          </cell>
          <cell r="CC152" t="str">
            <v>(1일)</v>
          </cell>
          <cell r="CT152">
            <v>1</v>
          </cell>
          <cell r="CU152">
            <v>1</v>
          </cell>
          <cell r="CV152">
            <v>1</v>
          </cell>
          <cell r="CW152" t="str">
            <v>(2일)</v>
          </cell>
          <cell r="DQ152">
            <v>3</v>
          </cell>
          <cell r="DR152">
            <v>3</v>
          </cell>
          <cell r="FD152">
            <v>15</v>
          </cell>
          <cell r="FE152">
            <v>2</v>
          </cell>
          <cell r="FF152">
            <v>5</v>
          </cell>
          <cell r="FG152">
            <v>8</v>
          </cell>
          <cell r="FH152">
            <v>5</v>
          </cell>
          <cell r="FI152">
            <v>13</v>
          </cell>
          <cell r="FJ152">
            <v>25</v>
          </cell>
          <cell r="FK152">
            <v>12</v>
          </cell>
          <cell r="FL152">
            <v>16</v>
          </cell>
          <cell r="FM152">
            <v>-4</v>
          </cell>
          <cell r="FN152" t="str">
            <v>0</v>
          </cell>
          <cell r="FO152" t="str">
            <v>0</v>
          </cell>
          <cell r="FP152">
            <v>0</v>
          </cell>
          <cell r="FQ152" t="str">
            <v>21</v>
          </cell>
        </row>
        <row r="153">
          <cell r="F153" t="str">
            <v>이창언</v>
          </cell>
          <cell r="FD153">
            <v>0</v>
          </cell>
          <cell r="FE153">
            <v>28</v>
          </cell>
          <cell r="FF153">
            <v>0</v>
          </cell>
          <cell r="FH153">
            <v>0</v>
          </cell>
          <cell r="FI153">
            <v>0</v>
          </cell>
          <cell r="FJ153">
            <v>23</v>
          </cell>
          <cell r="FK153">
            <v>23</v>
          </cell>
          <cell r="FL153">
            <v>16</v>
          </cell>
          <cell r="FM153">
            <v>7</v>
          </cell>
          <cell r="FN153" t="str">
            <v>1</v>
          </cell>
          <cell r="FO153" t="str">
            <v>0</v>
          </cell>
          <cell r="FP153">
            <v>1</v>
          </cell>
          <cell r="FQ153" t="str">
            <v>21</v>
          </cell>
        </row>
        <row r="154">
          <cell r="F154" t="str">
            <v>정중대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 t="str">
            <v>(4일)</v>
          </cell>
          <cell r="CW154">
            <v>1</v>
          </cell>
          <cell r="CX154">
            <v>1</v>
          </cell>
          <cell r="CY154">
            <v>1</v>
          </cell>
          <cell r="CZ154" t="str">
            <v>(2일)</v>
          </cell>
          <cell r="DX154">
            <v>3</v>
          </cell>
          <cell r="DY154">
            <v>3</v>
          </cell>
          <cell r="FD154">
            <v>12</v>
          </cell>
          <cell r="FE154">
            <v>0</v>
          </cell>
          <cell r="FF154">
            <v>2</v>
          </cell>
          <cell r="FG154">
            <v>6</v>
          </cell>
          <cell r="FH154">
            <v>2</v>
          </cell>
          <cell r="FI154">
            <v>8</v>
          </cell>
          <cell r="FJ154">
            <v>16</v>
          </cell>
          <cell r="FK154">
            <v>8</v>
          </cell>
          <cell r="FL154">
            <v>16</v>
          </cell>
          <cell r="FM154">
            <v>-8</v>
          </cell>
          <cell r="FN154" t="str">
            <v>0</v>
          </cell>
          <cell r="FO154" t="str">
            <v>1</v>
          </cell>
          <cell r="FP154">
            <v>1</v>
          </cell>
          <cell r="FQ154">
            <v>17</v>
          </cell>
        </row>
        <row r="155">
          <cell r="F155" t="str">
            <v>최규형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 t="str">
            <v>(5일)</v>
          </cell>
          <cell r="CP155">
            <v>1</v>
          </cell>
          <cell r="CQ155">
            <v>1</v>
          </cell>
          <cell r="CR155">
            <v>1</v>
          </cell>
          <cell r="CS155" t="str">
            <v>(3일)</v>
          </cell>
          <cell r="EE155">
            <v>3</v>
          </cell>
          <cell r="EF155">
            <v>3</v>
          </cell>
          <cell r="FD155">
            <v>12</v>
          </cell>
          <cell r="FE155">
            <v>0</v>
          </cell>
          <cell r="FF155">
            <v>2</v>
          </cell>
          <cell r="FG155">
            <v>8</v>
          </cell>
          <cell r="FH155">
            <v>2</v>
          </cell>
          <cell r="FI155">
            <v>10</v>
          </cell>
          <cell r="FJ155">
            <v>25</v>
          </cell>
          <cell r="FK155">
            <v>15</v>
          </cell>
          <cell r="FL155">
            <v>16</v>
          </cell>
          <cell r="FM155">
            <v>-1</v>
          </cell>
          <cell r="FN155" t="str">
            <v>0</v>
          </cell>
          <cell r="FO155" t="str">
            <v>1</v>
          </cell>
          <cell r="FP155">
            <v>1</v>
          </cell>
          <cell r="FQ155" t="str">
            <v>21</v>
          </cell>
        </row>
        <row r="156">
          <cell r="F156" t="str">
            <v>이명근</v>
          </cell>
          <cell r="CI156">
            <v>1</v>
          </cell>
          <cell r="CJ156">
            <v>1</v>
          </cell>
          <cell r="CK156">
            <v>1</v>
          </cell>
          <cell r="CL156" t="str">
            <v>(2일)</v>
          </cell>
          <cell r="DO156">
            <v>3</v>
          </cell>
          <cell r="DP156">
            <v>3</v>
          </cell>
          <cell r="FD156">
            <v>12</v>
          </cell>
          <cell r="FE156">
            <v>0</v>
          </cell>
          <cell r="FF156">
            <v>7</v>
          </cell>
          <cell r="FG156">
            <v>2</v>
          </cell>
          <cell r="FH156">
            <v>6</v>
          </cell>
          <cell r="FI156">
            <v>8</v>
          </cell>
          <cell r="FJ156">
            <v>16</v>
          </cell>
          <cell r="FK156">
            <v>8</v>
          </cell>
          <cell r="FL156">
            <v>16</v>
          </cell>
          <cell r="FM156">
            <v>-8</v>
          </cell>
          <cell r="FN156" t="str">
            <v>0</v>
          </cell>
          <cell r="FO156" t="str">
            <v>1</v>
          </cell>
          <cell r="FP156">
            <v>1</v>
          </cell>
          <cell r="FQ156">
            <v>17</v>
          </cell>
        </row>
        <row r="157">
          <cell r="F157" t="str">
            <v>김양훈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 t="str">
            <v>(4일)</v>
          </cell>
          <cell r="BJ157">
            <v>1</v>
          </cell>
          <cell r="BK157" t="str">
            <v>(1일)</v>
          </cell>
          <cell r="CM157">
            <v>1</v>
          </cell>
          <cell r="CN157">
            <v>1</v>
          </cell>
          <cell r="CO157">
            <v>1</v>
          </cell>
          <cell r="CP157" t="str">
            <v>(2일)</v>
          </cell>
          <cell r="EG157">
            <v>3</v>
          </cell>
          <cell r="EH157">
            <v>3</v>
          </cell>
          <cell r="FD157">
            <v>14</v>
          </cell>
          <cell r="FE157">
            <v>0</v>
          </cell>
          <cell r="FF157">
            <v>7</v>
          </cell>
          <cell r="FG157">
            <v>7</v>
          </cell>
          <cell r="FH157">
            <v>3</v>
          </cell>
          <cell r="FI157">
            <v>10</v>
          </cell>
          <cell r="FJ157">
            <v>24</v>
          </cell>
          <cell r="FK157">
            <v>14</v>
          </cell>
          <cell r="FL157">
            <v>16</v>
          </cell>
          <cell r="FM157">
            <v>-2</v>
          </cell>
          <cell r="FN157" t="str">
            <v>0</v>
          </cell>
          <cell r="FO157" t="str">
            <v>1</v>
          </cell>
          <cell r="FP157">
            <v>1</v>
          </cell>
          <cell r="FQ157" t="str">
            <v>21</v>
          </cell>
        </row>
        <row r="158">
          <cell r="F158" t="str">
            <v>최재성</v>
          </cell>
          <cell r="FD158">
            <v>4</v>
          </cell>
          <cell r="FE158">
            <v>0</v>
          </cell>
          <cell r="FF158">
            <v>0</v>
          </cell>
          <cell r="FH158">
            <v>3</v>
          </cell>
          <cell r="FI158">
            <v>3</v>
          </cell>
          <cell r="FJ158">
            <v>23</v>
          </cell>
          <cell r="FK158">
            <v>20</v>
          </cell>
          <cell r="FL158">
            <v>16</v>
          </cell>
          <cell r="FM158">
            <v>4</v>
          </cell>
          <cell r="FN158" t="str">
            <v>1</v>
          </cell>
          <cell r="FO158" t="str">
            <v>1</v>
          </cell>
          <cell r="FP158">
            <v>2</v>
          </cell>
          <cell r="FQ158" t="str">
            <v>21</v>
          </cell>
        </row>
        <row r="159">
          <cell r="F159" t="str">
            <v>상배식</v>
          </cell>
          <cell r="G159">
            <v>1</v>
          </cell>
          <cell r="H159">
            <v>1</v>
          </cell>
          <cell r="I159">
            <v>1</v>
          </cell>
          <cell r="J159">
            <v>1</v>
          </cell>
          <cell r="K159">
            <v>1</v>
          </cell>
          <cell r="L159">
            <v>1</v>
          </cell>
          <cell r="M159" t="str">
            <v>(5일)</v>
          </cell>
          <cell r="BR159">
            <v>1</v>
          </cell>
          <cell r="BS159">
            <v>1</v>
          </cell>
          <cell r="BT159">
            <v>1</v>
          </cell>
          <cell r="BU159" t="str">
            <v>(2일)</v>
          </cell>
          <cell r="CQ159">
            <v>2</v>
          </cell>
          <cell r="EG159">
            <v>3</v>
          </cell>
          <cell r="EH159">
            <v>3</v>
          </cell>
          <cell r="FD159">
            <v>12</v>
          </cell>
          <cell r="FE159">
            <v>1</v>
          </cell>
          <cell r="FF159">
            <v>2</v>
          </cell>
          <cell r="FG159">
            <v>7</v>
          </cell>
          <cell r="FH159">
            <v>3</v>
          </cell>
          <cell r="FI159">
            <v>10</v>
          </cell>
          <cell r="FJ159">
            <v>25</v>
          </cell>
          <cell r="FK159">
            <v>15</v>
          </cell>
          <cell r="FL159">
            <v>16</v>
          </cell>
          <cell r="FM159">
            <v>-1</v>
          </cell>
          <cell r="FN159" t="str">
            <v>0</v>
          </cell>
          <cell r="FO159" t="str">
            <v>0</v>
          </cell>
          <cell r="FP159">
            <v>0</v>
          </cell>
          <cell r="FQ159" t="str">
            <v>21</v>
          </cell>
        </row>
        <row r="160">
          <cell r="F160" t="str">
            <v>김종대</v>
          </cell>
          <cell r="CF160">
            <v>1</v>
          </cell>
          <cell r="CG160">
            <v>1</v>
          </cell>
          <cell r="CH160">
            <v>1</v>
          </cell>
          <cell r="CI160" t="str">
            <v>(3일)</v>
          </cell>
          <cell r="DQ160">
            <v>3</v>
          </cell>
          <cell r="DR160">
            <v>3</v>
          </cell>
          <cell r="FD160">
            <v>13</v>
          </cell>
          <cell r="FE160">
            <v>0</v>
          </cell>
          <cell r="FF160">
            <v>2</v>
          </cell>
          <cell r="FG160">
            <v>3</v>
          </cell>
          <cell r="FH160">
            <v>9</v>
          </cell>
          <cell r="FI160">
            <v>12</v>
          </cell>
          <cell r="FJ160">
            <v>23</v>
          </cell>
          <cell r="FK160">
            <v>11</v>
          </cell>
          <cell r="FL160">
            <v>16</v>
          </cell>
          <cell r="FM160">
            <v>-5</v>
          </cell>
          <cell r="FN160" t="str">
            <v>0</v>
          </cell>
          <cell r="FO160" t="str">
            <v>1</v>
          </cell>
          <cell r="FP160">
            <v>1</v>
          </cell>
          <cell r="FQ160" t="str">
            <v>21</v>
          </cell>
        </row>
        <row r="161">
          <cell r="F161" t="str">
            <v>이행철</v>
          </cell>
          <cell r="BE161">
            <v>3</v>
          </cell>
          <cell r="BF161">
            <v>3</v>
          </cell>
          <cell r="BG161">
            <v>3</v>
          </cell>
          <cell r="BH161">
            <v>1</v>
          </cell>
          <cell r="BI161" t="str">
            <v>(1일)</v>
          </cell>
          <cell r="CF161">
            <v>1</v>
          </cell>
          <cell r="CG161">
            <v>1</v>
          </cell>
          <cell r="CH161">
            <v>1</v>
          </cell>
          <cell r="CI161" t="str">
            <v>(3일)</v>
          </cell>
          <cell r="EC161">
            <v>3</v>
          </cell>
          <cell r="ED161">
            <v>3</v>
          </cell>
          <cell r="FD161">
            <v>4</v>
          </cell>
          <cell r="FE161">
            <v>0</v>
          </cell>
          <cell r="FF161">
            <v>5</v>
          </cell>
          <cell r="FG161">
            <v>4</v>
          </cell>
          <cell r="FH161">
            <v>0</v>
          </cell>
          <cell r="FI161">
            <v>4</v>
          </cell>
          <cell r="FJ161">
            <v>14</v>
          </cell>
          <cell r="FK161">
            <v>10</v>
          </cell>
          <cell r="FL161">
            <v>16</v>
          </cell>
          <cell r="FM161">
            <v>-6</v>
          </cell>
          <cell r="FN161" t="str">
            <v>0</v>
          </cell>
          <cell r="FO161" t="str">
            <v>1</v>
          </cell>
          <cell r="FP161">
            <v>1</v>
          </cell>
          <cell r="FQ161">
            <v>15</v>
          </cell>
        </row>
        <row r="162">
          <cell r="F162" t="str">
            <v>신명옥</v>
          </cell>
          <cell r="CR162">
            <v>1</v>
          </cell>
          <cell r="CS162">
            <v>1</v>
          </cell>
          <cell r="CT162" t="str">
            <v>(2일)</v>
          </cell>
          <cell r="DS162">
            <v>3</v>
          </cell>
          <cell r="DT162">
            <v>3</v>
          </cell>
          <cell r="EB162">
            <v>2</v>
          </cell>
          <cell r="EC162">
            <v>2</v>
          </cell>
          <cell r="ED162">
            <v>2</v>
          </cell>
          <cell r="EE162">
            <v>2</v>
          </cell>
          <cell r="EF162">
            <v>2</v>
          </cell>
          <cell r="EO162">
            <v>2</v>
          </cell>
          <cell r="EP162">
            <v>2</v>
          </cell>
          <cell r="EQ162">
            <v>2</v>
          </cell>
          <cell r="ER162">
            <v>2</v>
          </cell>
          <cell r="ES162">
            <v>2</v>
          </cell>
          <cell r="ET162">
            <v>2</v>
          </cell>
          <cell r="EU162">
            <v>2</v>
          </cell>
          <cell r="EV162">
            <v>2</v>
          </cell>
          <cell r="EW162">
            <v>2</v>
          </cell>
          <cell r="EX162">
            <v>2</v>
          </cell>
          <cell r="EY162">
            <v>2</v>
          </cell>
          <cell r="EZ162">
            <v>2</v>
          </cell>
          <cell r="FA162">
            <v>2</v>
          </cell>
          <cell r="FB162">
            <v>2</v>
          </cell>
          <cell r="FC162">
            <v>2</v>
          </cell>
          <cell r="FD162">
            <v>16</v>
          </cell>
          <cell r="FE162">
            <v>21</v>
          </cell>
          <cell r="FF162">
            <v>2</v>
          </cell>
          <cell r="FG162">
            <v>2</v>
          </cell>
          <cell r="FH162">
            <v>11</v>
          </cell>
          <cell r="FI162">
            <v>13</v>
          </cell>
          <cell r="FJ162">
            <v>24</v>
          </cell>
          <cell r="FK162">
            <v>11</v>
          </cell>
          <cell r="FL162">
            <v>16</v>
          </cell>
          <cell r="FM162">
            <v>-5</v>
          </cell>
          <cell r="FN162" t="str">
            <v>0</v>
          </cell>
          <cell r="FO162" t="str">
            <v>0</v>
          </cell>
          <cell r="FP162">
            <v>0</v>
          </cell>
          <cell r="FQ162" t="str">
            <v>21</v>
          </cell>
        </row>
        <row r="163">
          <cell r="F163" t="str">
            <v>전병길</v>
          </cell>
          <cell r="CN163">
            <v>1</v>
          </cell>
          <cell r="CO163">
            <v>1</v>
          </cell>
          <cell r="CP163">
            <v>1</v>
          </cell>
          <cell r="CQ163" t="str">
            <v>(2일)</v>
          </cell>
          <cell r="DX163">
            <v>3</v>
          </cell>
          <cell r="DY163">
            <v>3</v>
          </cell>
          <cell r="FD163">
            <v>12</v>
          </cell>
          <cell r="FE163">
            <v>0</v>
          </cell>
          <cell r="FF163">
            <v>2</v>
          </cell>
          <cell r="FG163">
            <v>2</v>
          </cell>
          <cell r="FH163">
            <v>7</v>
          </cell>
          <cell r="FI163">
            <v>9</v>
          </cell>
          <cell r="FJ163">
            <v>23</v>
          </cell>
          <cell r="FK163">
            <v>14</v>
          </cell>
          <cell r="FL163">
            <v>16</v>
          </cell>
          <cell r="FM163">
            <v>-2</v>
          </cell>
          <cell r="FN163" t="str">
            <v>0</v>
          </cell>
          <cell r="FO163" t="str">
            <v>1</v>
          </cell>
          <cell r="FP163">
            <v>1</v>
          </cell>
          <cell r="FQ163" t="str">
            <v>21</v>
          </cell>
        </row>
        <row r="164">
          <cell r="F164" t="str">
            <v>최대갑</v>
          </cell>
          <cell r="AS164">
            <v>1</v>
          </cell>
          <cell r="AT164" t="str">
            <v>(1일)</v>
          </cell>
          <cell r="BR164">
            <v>1</v>
          </cell>
          <cell r="BS164">
            <v>1</v>
          </cell>
          <cell r="BT164">
            <v>1</v>
          </cell>
          <cell r="BU164" t="str">
            <v>(3일)</v>
          </cell>
          <cell r="DQ164">
            <v>3</v>
          </cell>
          <cell r="DR164">
            <v>3</v>
          </cell>
          <cell r="FD164">
            <v>14</v>
          </cell>
          <cell r="FE164">
            <v>0</v>
          </cell>
          <cell r="FF164">
            <v>2</v>
          </cell>
          <cell r="FG164">
            <v>4</v>
          </cell>
          <cell r="FH164">
            <v>7</v>
          </cell>
          <cell r="FI164">
            <v>11</v>
          </cell>
          <cell r="FJ164">
            <v>23</v>
          </cell>
          <cell r="FK164">
            <v>12</v>
          </cell>
          <cell r="FL164">
            <v>16</v>
          </cell>
          <cell r="FM164">
            <v>-4</v>
          </cell>
          <cell r="FN164" t="str">
            <v>0</v>
          </cell>
          <cell r="FO164" t="str">
            <v>1</v>
          </cell>
          <cell r="FP164">
            <v>1</v>
          </cell>
          <cell r="FQ164" t="str">
            <v>21</v>
          </cell>
        </row>
        <row r="165">
          <cell r="F165" t="str">
            <v>전창</v>
          </cell>
          <cell r="G165">
            <v>1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 t="str">
            <v>(4일)</v>
          </cell>
          <cell r="BO165">
            <v>1</v>
          </cell>
          <cell r="BP165" t="str">
            <v>(1일)</v>
          </cell>
          <cell r="CC165">
            <v>2</v>
          </cell>
          <cell r="CD165">
            <v>2</v>
          </cell>
          <cell r="CE165">
            <v>2</v>
          </cell>
          <cell r="CF165">
            <v>2</v>
          </cell>
          <cell r="CG165">
            <v>2</v>
          </cell>
          <cell r="CH165">
            <v>2</v>
          </cell>
          <cell r="CI165">
            <v>2</v>
          </cell>
          <cell r="CJ165">
            <v>2</v>
          </cell>
          <cell r="CK165">
            <v>2</v>
          </cell>
          <cell r="CL165">
            <v>2</v>
          </cell>
          <cell r="CM165">
            <v>2</v>
          </cell>
          <cell r="CN165">
            <v>2</v>
          </cell>
          <cell r="CO165">
            <v>2</v>
          </cell>
          <cell r="CP165">
            <v>2</v>
          </cell>
          <cell r="CQ165">
            <v>2</v>
          </cell>
          <cell r="CR165">
            <v>2</v>
          </cell>
          <cell r="CS165">
            <v>2</v>
          </cell>
          <cell r="CT165">
            <v>2</v>
          </cell>
          <cell r="CU165">
            <v>2</v>
          </cell>
          <cell r="CV165">
            <v>2</v>
          </cell>
          <cell r="CW165">
            <v>2</v>
          </cell>
          <cell r="CX165">
            <v>2</v>
          </cell>
          <cell r="CY165">
            <v>2</v>
          </cell>
          <cell r="CZ165">
            <v>2</v>
          </cell>
          <cell r="DA165">
            <v>2</v>
          </cell>
          <cell r="DB165">
            <v>2</v>
          </cell>
          <cell r="DC165">
            <v>2</v>
          </cell>
          <cell r="DD165">
            <v>2</v>
          </cell>
          <cell r="DE165">
            <v>2</v>
          </cell>
          <cell r="DF165">
            <v>2</v>
          </cell>
          <cell r="DG165">
            <v>2</v>
          </cell>
          <cell r="DH165">
            <v>2</v>
          </cell>
          <cell r="DI165">
            <v>2</v>
          </cell>
          <cell r="DJ165">
            <v>2</v>
          </cell>
          <cell r="DK165">
            <v>2</v>
          </cell>
          <cell r="DL165">
            <v>2</v>
          </cell>
          <cell r="DM165">
            <v>2</v>
          </cell>
          <cell r="DN165">
            <v>2</v>
          </cell>
          <cell r="DO165">
            <v>2</v>
          </cell>
          <cell r="DP165">
            <v>2</v>
          </cell>
          <cell r="DX165">
            <v>3</v>
          </cell>
          <cell r="DY165">
            <v>3</v>
          </cell>
          <cell r="FD165">
            <v>12</v>
          </cell>
          <cell r="FE165">
            <v>40</v>
          </cell>
          <cell r="FF165">
            <v>2</v>
          </cell>
          <cell r="FG165">
            <v>5</v>
          </cell>
          <cell r="FH165">
            <v>4</v>
          </cell>
          <cell r="FI165">
            <v>9</v>
          </cell>
          <cell r="FJ165">
            <v>24</v>
          </cell>
          <cell r="FK165">
            <v>15</v>
          </cell>
          <cell r="FL165">
            <v>16</v>
          </cell>
          <cell r="FM165">
            <v>-1</v>
          </cell>
          <cell r="FN165" t="str">
            <v>0</v>
          </cell>
          <cell r="FO165" t="str">
            <v>0</v>
          </cell>
          <cell r="FP165">
            <v>0</v>
          </cell>
          <cell r="FQ165" t="str">
            <v>21</v>
          </cell>
        </row>
        <row r="166">
          <cell r="F166" t="str">
            <v>이성희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 t="str">
            <v>(5일)</v>
          </cell>
          <cell r="BM166">
            <v>1</v>
          </cell>
          <cell r="BN166" t="str">
            <v>(1일)</v>
          </cell>
          <cell r="CI166">
            <v>1</v>
          </cell>
          <cell r="CJ166">
            <v>1</v>
          </cell>
          <cell r="CK166">
            <v>1</v>
          </cell>
          <cell r="CL166" t="str">
            <v>(3일)</v>
          </cell>
          <cell r="EG166">
            <v>3</v>
          </cell>
          <cell r="EH166">
            <v>3</v>
          </cell>
          <cell r="EO166">
            <v>1</v>
          </cell>
          <cell r="EP166" t="str">
            <v>(1일)</v>
          </cell>
          <cell r="FD166">
            <v>13</v>
          </cell>
          <cell r="FE166">
            <v>0</v>
          </cell>
          <cell r="FF166">
            <v>2</v>
          </cell>
          <cell r="FG166">
            <v>10</v>
          </cell>
          <cell r="FH166">
            <v>2</v>
          </cell>
          <cell r="FI166">
            <v>12</v>
          </cell>
          <cell r="FJ166">
            <v>23</v>
          </cell>
          <cell r="FK166">
            <v>11</v>
          </cell>
          <cell r="FL166">
            <v>16</v>
          </cell>
          <cell r="FM166">
            <v>-5</v>
          </cell>
          <cell r="FN166" t="str">
            <v>0</v>
          </cell>
          <cell r="FO166" t="str">
            <v>1</v>
          </cell>
          <cell r="FP166">
            <v>1</v>
          </cell>
          <cell r="FQ166" t="str">
            <v>21</v>
          </cell>
        </row>
        <row r="167">
          <cell r="F167" t="str">
            <v>박동우</v>
          </cell>
          <cell r="CM167">
            <v>1</v>
          </cell>
          <cell r="CN167">
            <v>1</v>
          </cell>
          <cell r="CO167">
            <v>1</v>
          </cell>
          <cell r="CP167" t="str">
            <v>(3일)</v>
          </cell>
          <cell r="EE167">
            <v>3</v>
          </cell>
          <cell r="EF167">
            <v>3</v>
          </cell>
          <cell r="FD167">
            <v>12</v>
          </cell>
          <cell r="FE167">
            <v>0</v>
          </cell>
          <cell r="FF167">
            <v>2</v>
          </cell>
          <cell r="FG167">
            <v>3</v>
          </cell>
          <cell r="FH167">
            <v>6</v>
          </cell>
          <cell r="FI167">
            <v>9</v>
          </cell>
          <cell r="FJ167">
            <v>25</v>
          </cell>
          <cell r="FK167">
            <v>16</v>
          </cell>
          <cell r="FL167">
            <v>16</v>
          </cell>
          <cell r="FM167">
            <v>0</v>
          </cell>
          <cell r="FN167" t="str">
            <v>0</v>
          </cell>
          <cell r="FO167" t="str">
            <v>1</v>
          </cell>
          <cell r="FP167">
            <v>1</v>
          </cell>
          <cell r="FQ167" t="str">
            <v>21</v>
          </cell>
        </row>
        <row r="168">
          <cell r="F168" t="str">
            <v>김진웅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 t="str">
            <v>(4일)</v>
          </cell>
          <cell r="BQ168">
            <v>1</v>
          </cell>
          <cell r="BR168" t="str">
            <v>(1일)</v>
          </cell>
          <cell r="BS168">
            <v>1</v>
          </cell>
          <cell r="BT168" t="str">
            <v>(1일)</v>
          </cell>
          <cell r="CF168">
            <v>1</v>
          </cell>
          <cell r="CG168">
            <v>1</v>
          </cell>
          <cell r="CH168">
            <v>1</v>
          </cell>
          <cell r="CI168" t="str">
            <v>(3일)</v>
          </cell>
          <cell r="CX168">
            <v>2</v>
          </cell>
          <cell r="CY168">
            <v>2</v>
          </cell>
          <cell r="CZ168">
            <v>2</v>
          </cell>
          <cell r="DA168">
            <v>2</v>
          </cell>
          <cell r="DB168">
            <v>2</v>
          </cell>
          <cell r="DC168">
            <v>2</v>
          </cell>
          <cell r="DE168">
            <v>2</v>
          </cell>
          <cell r="DF168">
            <v>2</v>
          </cell>
          <cell r="DG168">
            <v>2</v>
          </cell>
          <cell r="DH168">
            <v>2</v>
          </cell>
          <cell r="DI168">
            <v>2</v>
          </cell>
          <cell r="DJ168">
            <v>2</v>
          </cell>
          <cell r="DK168">
            <v>2</v>
          </cell>
          <cell r="DL168">
            <v>2</v>
          </cell>
          <cell r="DM168">
            <v>2</v>
          </cell>
          <cell r="DZ168">
            <v>3</v>
          </cell>
          <cell r="EA168">
            <v>3</v>
          </cell>
          <cell r="FD168">
            <v>15</v>
          </cell>
          <cell r="FE168">
            <v>15</v>
          </cell>
          <cell r="FF168">
            <v>2</v>
          </cell>
          <cell r="FG168">
            <v>9</v>
          </cell>
          <cell r="FH168">
            <v>3</v>
          </cell>
          <cell r="FI168">
            <v>12</v>
          </cell>
          <cell r="FJ168">
            <v>23</v>
          </cell>
          <cell r="FK168">
            <v>11</v>
          </cell>
          <cell r="FL168">
            <v>16</v>
          </cell>
          <cell r="FM168">
            <v>-5</v>
          </cell>
          <cell r="FN168" t="str">
            <v>0</v>
          </cell>
          <cell r="FO168" t="str">
            <v>0</v>
          </cell>
          <cell r="FP168">
            <v>0</v>
          </cell>
          <cell r="FQ168" t="str">
            <v>21</v>
          </cell>
        </row>
        <row r="169">
          <cell r="F169" t="str">
            <v>설재동</v>
          </cell>
          <cell r="T169">
            <v>1</v>
          </cell>
          <cell r="U169">
            <v>1</v>
          </cell>
          <cell r="V169">
            <v>1</v>
          </cell>
          <cell r="W169" t="str">
            <v>(2일)</v>
          </cell>
          <cell r="AN169">
            <v>2</v>
          </cell>
          <cell r="BJ169">
            <v>1</v>
          </cell>
          <cell r="BK169" t="str">
            <v>(1일)</v>
          </cell>
          <cell r="CG169">
            <v>1</v>
          </cell>
          <cell r="CH169">
            <v>1</v>
          </cell>
          <cell r="CI169">
            <v>1</v>
          </cell>
          <cell r="CJ169" t="str">
            <v>(2일)</v>
          </cell>
          <cell r="DZ169">
            <v>3</v>
          </cell>
          <cell r="EA169">
            <v>3</v>
          </cell>
          <cell r="FD169">
            <v>9</v>
          </cell>
          <cell r="FE169">
            <v>1</v>
          </cell>
          <cell r="FF169">
            <v>2</v>
          </cell>
          <cell r="FG169">
            <v>5</v>
          </cell>
          <cell r="FH169">
            <v>2</v>
          </cell>
          <cell r="FI169">
            <v>7</v>
          </cell>
          <cell r="FJ169">
            <v>23</v>
          </cell>
          <cell r="FK169">
            <v>16</v>
          </cell>
          <cell r="FL169">
            <v>16</v>
          </cell>
          <cell r="FM169">
            <v>0</v>
          </cell>
          <cell r="FN169" t="str">
            <v>0</v>
          </cell>
          <cell r="FO169" t="str">
            <v>0</v>
          </cell>
          <cell r="FP169">
            <v>0</v>
          </cell>
          <cell r="FQ169" t="str">
            <v>21</v>
          </cell>
        </row>
        <row r="170">
          <cell r="F170" t="str">
            <v>신중래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M170">
            <v>1</v>
          </cell>
          <cell r="AN170">
            <v>1</v>
          </cell>
          <cell r="AO170" t="str">
            <v>(4일)</v>
          </cell>
          <cell r="CW170">
            <v>1</v>
          </cell>
          <cell r="CX170">
            <v>1</v>
          </cell>
          <cell r="CY170">
            <v>1</v>
          </cell>
          <cell r="CZ170" t="str">
            <v>(2일)</v>
          </cell>
          <cell r="DP170">
            <v>3</v>
          </cell>
          <cell r="DQ170">
            <v>3</v>
          </cell>
          <cell r="FD170">
            <v>14</v>
          </cell>
          <cell r="FE170">
            <v>0</v>
          </cell>
          <cell r="FF170">
            <v>2</v>
          </cell>
          <cell r="FG170">
            <v>6</v>
          </cell>
          <cell r="FH170">
            <v>5</v>
          </cell>
          <cell r="FI170">
            <v>11</v>
          </cell>
          <cell r="FJ170">
            <v>24</v>
          </cell>
          <cell r="FK170">
            <v>13</v>
          </cell>
          <cell r="FL170">
            <v>16</v>
          </cell>
          <cell r="FM170">
            <v>-3</v>
          </cell>
          <cell r="FN170" t="str">
            <v>0</v>
          </cell>
          <cell r="FO170" t="str">
            <v>1</v>
          </cell>
          <cell r="FP170">
            <v>1</v>
          </cell>
          <cell r="FQ170" t="str">
            <v>21</v>
          </cell>
        </row>
        <row r="171">
          <cell r="F171" t="str">
            <v>유성용</v>
          </cell>
          <cell r="V171">
            <v>1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 t="str">
            <v>(4일)</v>
          </cell>
          <cell r="AU171">
            <v>2</v>
          </cell>
          <cell r="AZ171">
            <v>2</v>
          </cell>
          <cell r="BO171">
            <v>1</v>
          </cell>
          <cell r="BP171" t="str">
            <v>(1일)</v>
          </cell>
          <cell r="CI171">
            <v>1</v>
          </cell>
          <cell r="CJ171">
            <v>1</v>
          </cell>
          <cell r="CK171">
            <v>1</v>
          </cell>
          <cell r="CL171" t="str">
            <v>(3일)</v>
          </cell>
          <cell r="DT171">
            <v>2</v>
          </cell>
          <cell r="DV171">
            <v>3</v>
          </cell>
          <cell r="DW171">
            <v>3</v>
          </cell>
          <cell r="EK171">
            <v>2</v>
          </cell>
          <cell r="FD171">
            <v>14</v>
          </cell>
          <cell r="FE171">
            <v>8</v>
          </cell>
          <cell r="FF171">
            <v>2</v>
          </cell>
          <cell r="FG171">
            <v>8</v>
          </cell>
          <cell r="FH171">
            <v>4</v>
          </cell>
          <cell r="FI171">
            <v>12</v>
          </cell>
          <cell r="FJ171">
            <v>23</v>
          </cell>
          <cell r="FK171">
            <v>11</v>
          </cell>
          <cell r="FL171">
            <v>16</v>
          </cell>
          <cell r="FM171">
            <v>-5</v>
          </cell>
          <cell r="FN171" t="str">
            <v>0</v>
          </cell>
          <cell r="FO171" t="str">
            <v>0</v>
          </cell>
          <cell r="FP171">
            <v>0</v>
          </cell>
          <cell r="FQ171" t="str">
            <v>21</v>
          </cell>
        </row>
        <row r="172">
          <cell r="F172" t="str">
            <v>구재우</v>
          </cell>
          <cell r="CE172">
            <v>1</v>
          </cell>
          <cell r="CF172">
            <v>1</v>
          </cell>
          <cell r="CG172">
            <v>1</v>
          </cell>
          <cell r="CH172" t="str">
            <v>(2일)</v>
          </cell>
          <cell r="DU172">
            <v>1</v>
          </cell>
          <cell r="DV172" t="str">
            <v>(1일)</v>
          </cell>
          <cell r="FD172">
            <v>13</v>
          </cell>
          <cell r="FE172">
            <v>0</v>
          </cell>
          <cell r="FF172">
            <v>0</v>
          </cell>
          <cell r="FG172">
            <v>3</v>
          </cell>
          <cell r="FH172">
            <v>6</v>
          </cell>
          <cell r="FI172">
            <v>9</v>
          </cell>
          <cell r="FJ172">
            <v>24</v>
          </cell>
          <cell r="FK172">
            <v>15</v>
          </cell>
          <cell r="FL172">
            <v>16</v>
          </cell>
          <cell r="FM172">
            <v>-1</v>
          </cell>
          <cell r="FN172" t="str">
            <v>0</v>
          </cell>
          <cell r="FO172" t="str">
            <v>1</v>
          </cell>
          <cell r="FP172">
            <v>1</v>
          </cell>
          <cell r="FQ172" t="str">
            <v>21</v>
          </cell>
        </row>
        <row r="173">
          <cell r="F173" t="str">
            <v>권향민</v>
          </cell>
          <cell r="AC173">
            <v>2</v>
          </cell>
          <cell r="DZ173">
            <v>3</v>
          </cell>
          <cell r="EA173">
            <v>3</v>
          </cell>
          <cell r="FD173">
            <v>6</v>
          </cell>
          <cell r="FE173">
            <v>1</v>
          </cell>
          <cell r="FF173">
            <v>2</v>
          </cell>
          <cell r="FH173">
            <v>5</v>
          </cell>
          <cell r="FI173">
            <v>5</v>
          </cell>
          <cell r="FJ173">
            <v>16</v>
          </cell>
          <cell r="FK173">
            <v>11</v>
          </cell>
          <cell r="FL173">
            <v>16</v>
          </cell>
          <cell r="FM173">
            <v>-5</v>
          </cell>
          <cell r="FN173" t="str">
            <v>0</v>
          </cell>
          <cell r="FO173" t="str">
            <v>0</v>
          </cell>
          <cell r="FP173">
            <v>0</v>
          </cell>
          <cell r="FQ173">
            <v>16</v>
          </cell>
        </row>
        <row r="174">
          <cell r="F174" t="str">
            <v>최진영</v>
          </cell>
          <cell r="CW174">
            <v>1</v>
          </cell>
          <cell r="CX174">
            <v>1</v>
          </cell>
          <cell r="CY174">
            <v>1</v>
          </cell>
          <cell r="CZ174" t="str">
            <v>(2일)</v>
          </cell>
          <cell r="EC174">
            <v>3</v>
          </cell>
          <cell r="ED174">
            <v>3</v>
          </cell>
          <cell r="FD174">
            <v>10</v>
          </cell>
          <cell r="FE174">
            <v>0</v>
          </cell>
          <cell r="FF174">
            <v>9</v>
          </cell>
          <cell r="FG174">
            <v>2</v>
          </cell>
          <cell r="FH174">
            <v>6</v>
          </cell>
          <cell r="FI174">
            <v>8</v>
          </cell>
          <cell r="FJ174">
            <v>16</v>
          </cell>
          <cell r="FK174">
            <v>8</v>
          </cell>
          <cell r="FL174">
            <v>16</v>
          </cell>
          <cell r="FM174">
            <v>-8</v>
          </cell>
          <cell r="FN174" t="str">
            <v>0</v>
          </cell>
          <cell r="FO174" t="str">
            <v>1</v>
          </cell>
          <cell r="FP174">
            <v>1</v>
          </cell>
          <cell r="FQ174">
            <v>17</v>
          </cell>
        </row>
        <row r="175">
          <cell r="F175" t="str">
            <v>최호영</v>
          </cell>
          <cell r="EC175">
            <v>3</v>
          </cell>
          <cell r="ED175">
            <v>3</v>
          </cell>
          <cell r="FD175">
            <v>6</v>
          </cell>
          <cell r="FE175">
            <v>0</v>
          </cell>
          <cell r="FF175">
            <v>2</v>
          </cell>
          <cell r="FH175">
            <v>4</v>
          </cell>
          <cell r="FI175">
            <v>4</v>
          </cell>
          <cell r="FJ175">
            <v>16</v>
          </cell>
          <cell r="FK175">
            <v>12</v>
          </cell>
          <cell r="FL175">
            <v>16</v>
          </cell>
          <cell r="FM175">
            <v>-4</v>
          </cell>
          <cell r="FN175" t="str">
            <v>0</v>
          </cell>
          <cell r="FO175" t="str">
            <v>1</v>
          </cell>
          <cell r="FP175">
            <v>1</v>
          </cell>
          <cell r="FQ175">
            <v>17</v>
          </cell>
        </row>
        <row r="176">
          <cell r="F176" t="str">
            <v>문상석</v>
          </cell>
          <cell r="CL176">
            <v>1</v>
          </cell>
          <cell r="CM176">
            <v>1</v>
          </cell>
          <cell r="CN176">
            <v>1</v>
          </cell>
          <cell r="CO176" t="str">
            <v>(2일)</v>
          </cell>
          <cell r="DV176">
            <v>3</v>
          </cell>
          <cell r="DW176">
            <v>3</v>
          </cell>
          <cell r="FD176">
            <v>9</v>
          </cell>
          <cell r="FE176">
            <v>1</v>
          </cell>
          <cell r="FF176">
            <v>2</v>
          </cell>
          <cell r="FG176">
            <v>2</v>
          </cell>
          <cell r="FH176">
            <v>5</v>
          </cell>
          <cell r="FI176">
            <v>7</v>
          </cell>
          <cell r="FJ176">
            <v>16</v>
          </cell>
          <cell r="FK176">
            <v>9</v>
          </cell>
          <cell r="FL176">
            <v>16</v>
          </cell>
          <cell r="FM176">
            <v>-7</v>
          </cell>
          <cell r="FN176" t="str">
            <v>0</v>
          </cell>
          <cell r="FO176" t="str">
            <v>0</v>
          </cell>
          <cell r="FP176">
            <v>0</v>
          </cell>
          <cell r="FQ176">
            <v>16</v>
          </cell>
        </row>
        <row r="177">
          <cell r="F177" t="str">
            <v>장정호</v>
          </cell>
          <cell r="M177">
            <v>1</v>
          </cell>
          <cell r="N177">
            <v>1</v>
          </cell>
          <cell r="O177">
            <v>1</v>
          </cell>
          <cell r="P177">
            <v>1</v>
          </cell>
          <cell r="Q177">
            <v>1</v>
          </cell>
          <cell r="R177">
            <v>1</v>
          </cell>
          <cell r="S177" t="str">
            <v>(5일)</v>
          </cell>
          <cell r="CR177">
            <v>1</v>
          </cell>
          <cell r="CS177" t="str">
            <v>(1일)</v>
          </cell>
          <cell r="EE177">
            <v>3</v>
          </cell>
          <cell r="EF177">
            <v>3</v>
          </cell>
          <cell r="FD177">
            <v>7</v>
          </cell>
          <cell r="FE177">
            <v>0</v>
          </cell>
          <cell r="FF177">
            <v>2</v>
          </cell>
          <cell r="FG177">
            <v>6</v>
          </cell>
          <cell r="FH177">
            <v>0</v>
          </cell>
          <cell r="FI177">
            <v>6</v>
          </cell>
          <cell r="FJ177">
            <v>16</v>
          </cell>
          <cell r="FK177">
            <v>10</v>
          </cell>
          <cell r="FL177">
            <v>16</v>
          </cell>
          <cell r="FM177">
            <v>-6</v>
          </cell>
          <cell r="FN177" t="str">
            <v>0</v>
          </cell>
          <cell r="FO177" t="str">
            <v>1</v>
          </cell>
          <cell r="FP177">
            <v>1</v>
          </cell>
          <cell r="FQ177">
            <v>17</v>
          </cell>
        </row>
        <row r="178">
          <cell r="F178" t="str">
            <v>강종열</v>
          </cell>
          <cell r="V178">
            <v>1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  <cell r="AB178" t="str">
            <v>(5일)</v>
          </cell>
          <cell r="CP178">
            <v>1</v>
          </cell>
          <cell r="CQ178">
            <v>1</v>
          </cell>
          <cell r="CR178">
            <v>1</v>
          </cell>
          <cell r="CS178" t="str">
            <v>(2일)</v>
          </cell>
          <cell r="EE178">
            <v>3</v>
          </cell>
          <cell r="EF178">
            <v>3</v>
          </cell>
          <cell r="FD178">
            <v>10</v>
          </cell>
          <cell r="FE178">
            <v>0</v>
          </cell>
          <cell r="FF178">
            <v>2</v>
          </cell>
          <cell r="FG178">
            <v>7</v>
          </cell>
          <cell r="FH178">
            <v>1</v>
          </cell>
          <cell r="FI178">
            <v>8</v>
          </cell>
          <cell r="FJ178">
            <v>25</v>
          </cell>
          <cell r="FK178">
            <v>17</v>
          </cell>
          <cell r="FL178">
            <v>16</v>
          </cell>
          <cell r="FM178">
            <v>1</v>
          </cell>
          <cell r="FN178" t="str">
            <v>1</v>
          </cell>
          <cell r="FO178" t="str">
            <v>1</v>
          </cell>
          <cell r="FP178">
            <v>2</v>
          </cell>
          <cell r="FQ178" t="str">
            <v>21</v>
          </cell>
        </row>
        <row r="179">
          <cell r="F179" t="str">
            <v>강호식</v>
          </cell>
          <cell r="G179">
            <v>1</v>
          </cell>
          <cell r="H179">
            <v>1</v>
          </cell>
          <cell r="I179">
            <v>1</v>
          </cell>
          <cell r="J179">
            <v>1</v>
          </cell>
          <cell r="K179">
            <v>1</v>
          </cell>
          <cell r="L179">
            <v>1</v>
          </cell>
          <cell r="M179" t="str">
            <v>(5일)</v>
          </cell>
          <cell r="CQ179">
            <v>1</v>
          </cell>
          <cell r="CR179" t="str">
            <v>(1일)</v>
          </cell>
          <cell r="EE179">
            <v>3</v>
          </cell>
          <cell r="EF179">
            <v>3</v>
          </cell>
          <cell r="EZ179">
            <v>3</v>
          </cell>
          <cell r="FA179">
            <v>3</v>
          </cell>
          <cell r="FB179">
            <v>3</v>
          </cell>
          <cell r="FD179">
            <v>10</v>
          </cell>
          <cell r="FE179">
            <v>0</v>
          </cell>
          <cell r="FF179">
            <v>6</v>
          </cell>
          <cell r="FG179">
            <v>6</v>
          </cell>
          <cell r="FH179">
            <v>2</v>
          </cell>
          <cell r="FI179">
            <v>8</v>
          </cell>
          <cell r="FJ179">
            <v>24</v>
          </cell>
          <cell r="FK179">
            <v>16</v>
          </cell>
          <cell r="FL179">
            <v>16</v>
          </cell>
          <cell r="FM179">
            <v>0</v>
          </cell>
          <cell r="FN179" t="str">
            <v>0</v>
          </cell>
          <cell r="FO179" t="str">
            <v>1</v>
          </cell>
          <cell r="FP179">
            <v>1</v>
          </cell>
          <cell r="FQ179" t="str">
            <v>21</v>
          </cell>
        </row>
        <row r="180">
          <cell r="F180" t="str">
            <v>변하량</v>
          </cell>
          <cell r="I180">
            <v>1</v>
          </cell>
          <cell r="J180">
            <v>1</v>
          </cell>
          <cell r="K180">
            <v>1</v>
          </cell>
          <cell r="L180">
            <v>1</v>
          </cell>
          <cell r="M180" t="str">
            <v>(4일)</v>
          </cell>
          <cell r="AH180">
            <v>1</v>
          </cell>
          <cell r="AI180" t="str">
            <v>(1일)</v>
          </cell>
          <cell r="BL180">
            <v>3</v>
          </cell>
          <cell r="BM180">
            <v>3</v>
          </cell>
          <cell r="BN180">
            <v>3</v>
          </cell>
          <cell r="CS180">
            <v>1</v>
          </cell>
          <cell r="CT180" t="str">
            <v>(1일)</v>
          </cell>
          <cell r="DV180">
            <v>3</v>
          </cell>
          <cell r="DW180">
            <v>3</v>
          </cell>
          <cell r="EQ180">
            <v>3</v>
          </cell>
          <cell r="FB180">
            <v>3</v>
          </cell>
          <cell r="FC180">
            <v>3</v>
          </cell>
          <cell r="FD180">
            <v>13</v>
          </cell>
          <cell r="FE180">
            <v>1</v>
          </cell>
          <cell r="FF180">
            <v>8</v>
          </cell>
          <cell r="FG180">
            <v>6</v>
          </cell>
          <cell r="FH180">
            <v>7</v>
          </cell>
          <cell r="FI180">
            <v>13</v>
          </cell>
          <cell r="FJ180">
            <v>24</v>
          </cell>
          <cell r="FK180">
            <v>11</v>
          </cell>
          <cell r="FL180">
            <v>16</v>
          </cell>
          <cell r="FM180">
            <v>-5</v>
          </cell>
          <cell r="FN180" t="str">
            <v>0</v>
          </cell>
          <cell r="FO180" t="str">
            <v>0</v>
          </cell>
          <cell r="FP180">
            <v>0</v>
          </cell>
          <cell r="FQ180" t="str">
            <v>21</v>
          </cell>
        </row>
        <row r="181">
          <cell r="F181" t="str">
            <v>윤익수</v>
          </cell>
          <cell r="BB181">
            <v>3</v>
          </cell>
          <cell r="BC181">
            <v>3</v>
          </cell>
          <cell r="BD181">
            <v>3</v>
          </cell>
          <cell r="BE181">
            <v>3</v>
          </cell>
          <cell r="CO181">
            <v>1</v>
          </cell>
          <cell r="CP181" t="str">
            <v>(1일)</v>
          </cell>
          <cell r="DX181">
            <v>3</v>
          </cell>
          <cell r="DY181">
            <v>3</v>
          </cell>
          <cell r="EN181">
            <v>1</v>
          </cell>
          <cell r="EO181">
            <v>1</v>
          </cell>
          <cell r="EP181">
            <v>1</v>
          </cell>
          <cell r="EQ181">
            <v>1</v>
          </cell>
          <cell r="ER181" t="str">
            <v>(4일)</v>
          </cell>
          <cell r="FD181">
            <v>13</v>
          </cell>
          <cell r="FE181">
            <v>0</v>
          </cell>
          <cell r="FF181">
            <v>6</v>
          </cell>
          <cell r="FG181">
            <v>5</v>
          </cell>
          <cell r="FH181">
            <v>5</v>
          </cell>
          <cell r="FI181">
            <v>10</v>
          </cell>
          <cell r="FJ181">
            <v>25</v>
          </cell>
          <cell r="FK181">
            <v>15</v>
          </cell>
          <cell r="FL181">
            <v>16</v>
          </cell>
          <cell r="FM181">
            <v>-1</v>
          </cell>
          <cell r="FN181" t="str">
            <v>0</v>
          </cell>
          <cell r="FO181" t="str">
            <v>1</v>
          </cell>
          <cell r="FP181">
            <v>1</v>
          </cell>
          <cell r="FQ181" t="str">
            <v>21</v>
          </cell>
        </row>
        <row r="182">
          <cell r="F182" t="str">
            <v>김성복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 t="str">
            <v>(4일)</v>
          </cell>
          <cell r="BY182">
            <v>1</v>
          </cell>
          <cell r="BZ182">
            <v>1</v>
          </cell>
          <cell r="CA182">
            <v>1</v>
          </cell>
          <cell r="CB182" t="str">
            <v>(3일)</v>
          </cell>
          <cell r="DV182">
            <v>3</v>
          </cell>
          <cell r="DW182">
            <v>3</v>
          </cell>
          <cell r="FD182">
            <v>16</v>
          </cell>
          <cell r="FE182">
            <v>1</v>
          </cell>
          <cell r="FF182">
            <v>8</v>
          </cell>
          <cell r="FG182">
            <v>7</v>
          </cell>
          <cell r="FH182">
            <v>6</v>
          </cell>
          <cell r="FI182">
            <v>13</v>
          </cell>
          <cell r="FJ182">
            <v>23</v>
          </cell>
          <cell r="FK182">
            <v>10</v>
          </cell>
          <cell r="FL182">
            <v>16</v>
          </cell>
          <cell r="FM182">
            <v>-6</v>
          </cell>
          <cell r="FN182" t="str">
            <v>0</v>
          </cell>
          <cell r="FO182" t="str">
            <v>0</v>
          </cell>
          <cell r="FP182">
            <v>0</v>
          </cell>
          <cell r="FQ182" t="str">
            <v>21</v>
          </cell>
        </row>
        <row r="183">
          <cell r="F183" t="str">
            <v>김형규</v>
          </cell>
          <cell r="BI183">
            <v>1</v>
          </cell>
          <cell r="BJ183" t="str">
            <v>(1일)</v>
          </cell>
          <cell r="CZ183">
            <v>1</v>
          </cell>
          <cell r="DA183" t="str">
            <v>(1일)</v>
          </cell>
          <cell r="EC183">
            <v>3</v>
          </cell>
          <cell r="ED183">
            <v>3</v>
          </cell>
          <cell r="FD183">
            <v>11</v>
          </cell>
          <cell r="FE183">
            <v>0</v>
          </cell>
          <cell r="FF183">
            <v>5</v>
          </cell>
          <cell r="FG183">
            <v>2</v>
          </cell>
          <cell r="FH183">
            <v>7</v>
          </cell>
          <cell r="FI183">
            <v>9</v>
          </cell>
          <cell r="FJ183">
            <v>24</v>
          </cell>
          <cell r="FK183">
            <v>15</v>
          </cell>
          <cell r="FL183">
            <v>16</v>
          </cell>
          <cell r="FM183">
            <v>-1</v>
          </cell>
          <cell r="FN183" t="str">
            <v>0</v>
          </cell>
          <cell r="FO183" t="str">
            <v>1</v>
          </cell>
          <cell r="FP183">
            <v>1</v>
          </cell>
          <cell r="FQ183" t="str">
            <v>21</v>
          </cell>
        </row>
        <row r="184">
          <cell r="F184" t="str">
            <v>박봉현</v>
          </cell>
          <cell r="BE184">
            <v>1</v>
          </cell>
          <cell r="BF184" t="str">
            <v>(1일)</v>
          </cell>
          <cell r="CM184">
            <v>1</v>
          </cell>
          <cell r="CN184">
            <v>1</v>
          </cell>
          <cell r="CO184">
            <v>1</v>
          </cell>
          <cell r="CP184" t="str">
            <v>(2일)</v>
          </cell>
          <cell r="DZ184">
            <v>3</v>
          </cell>
          <cell r="EA184">
            <v>3</v>
          </cell>
          <cell r="FD184">
            <v>14</v>
          </cell>
          <cell r="FE184">
            <v>0</v>
          </cell>
          <cell r="FF184">
            <v>2</v>
          </cell>
          <cell r="FG184">
            <v>4</v>
          </cell>
          <cell r="FH184">
            <v>10</v>
          </cell>
          <cell r="FI184">
            <v>14</v>
          </cell>
          <cell r="FJ184">
            <v>24</v>
          </cell>
          <cell r="FK184">
            <v>10</v>
          </cell>
          <cell r="FL184">
            <v>16</v>
          </cell>
          <cell r="FM184">
            <v>-6</v>
          </cell>
          <cell r="FN184" t="str">
            <v>0</v>
          </cell>
          <cell r="FO184" t="str">
            <v>1</v>
          </cell>
          <cell r="FP184">
            <v>1</v>
          </cell>
          <cell r="FQ184" t="str">
            <v>21</v>
          </cell>
        </row>
        <row r="185">
          <cell r="F185" t="str">
            <v>송하범</v>
          </cell>
          <cell r="N185">
            <v>1</v>
          </cell>
          <cell r="O185">
            <v>1</v>
          </cell>
          <cell r="P185">
            <v>1</v>
          </cell>
          <cell r="Q185" t="str">
            <v>(2일)</v>
          </cell>
          <cell r="BI185">
            <v>1</v>
          </cell>
          <cell r="BJ185" t="str">
            <v>(1일)</v>
          </cell>
          <cell r="CJ185">
            <v>1</v>
          </cell>
          <cell r="CK185">
            <v>1</v>
          </cell>
          <cell r="CL185">
            <v>1</v>
          </cell>
          <cell r="CM185" t="str">
            <v>(2일)</v>
          </cell>
          <cell r="DZ185">
            <v>3</v>
          </cell>
          <cell r="EA185">
            <v>3</v>
          </cell>
          <cell r="EJ185">
            <v>1</v>
          </cell>
          <cell r="EK185" t="str">
            <v>(1일)</v>
          </cell>
          <cell r="FD185">
            <v>10</v>
          </cell>
          <cell r="FE185">
            <v>1</v>
          </cell>
          <cell r="FF185">
            <v>2</v>
          </cell>
          <cell r="FG185">
            <v>5</v>
          </cell>
          <cell r="FH185">
            <v>2</v>
          </cell>
          <cell r="FI185">
            <v>7</v>
          </cell>
          <cell r="FJ185">
            <v>24</v>
          </cell>
          <cell r="FK185">
            <v>17</v>
          </cell>
          <cell r="FL185">
            <v>16</v>
          </cell>
          <cell r="FM185">
            <v>1</v>
          </cell>
          <cell r="FN185" t="str">
            <v>1</v>
          </cell>
          <cell r="FO185" t="str">
            <v>0</v>
          </cell>
          <cell r="FP185">
            <v>1</v>
          </cell>
          <cell r="FQ185" t="str">
            <v>21</v>
          </cell>
        </row>
        <row r="186">
          <cell r="F186" t="str">
            <v>안광석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P186">
            <v>1</v>
          </cell>
          <cell r="AQ186" t="str">
            <v>(4일)</v>
          </cell>
          <cell r="EG186">
            <v>3</v>
          </cell>
          <cell r="EH186">
            <v>3</v>
          </cell>
          <cell r="FD186">
            <v>8</v>
          </cell>
          <cell r="FE186">
            <v>0</v>
          </cell>
          <cell r="FF186">
            <v>9</v>
          </cell>
          <cell r="FG186">
            <v>4</v>
          </cell>
          <cell r="FH186">
            <v>2</v>
          </cell>
          <cell r="FI186">
            <v>6</v>
          </cell>
          <cell r="FJ186">
            <v>24</v>
          </cell>
          <cell r="FK186">
            <v>18</v>
          </cell>
          <cell r="FL186">
            <v>16</v>
          </cell>
          <cell r="FM186">
            <v>2</v>
          </cell>
          <cell r="FN186" t="str">
            <v>1</v>
          </cell>
          <cell r="FO186" t="str">
            <v>1</v>
          </cell>
          <cell r="FP186">
            <v>2</v>
          </cell>
          <cell r="FQ186" t="str">
            <v>21</v>
          </cell>
        </row>
        <row r="187">
          <cell r="F187" t="str">
            <v>안재각</v>
          </cell>
          <cell r="BK187">
            <v>2</v>
          </cell>
          <cell r="BL187">
            <v>2</v>
          </cell>
          <cell r="BM187">
            <v>2</v>
          </cell>
          <cell r="BN187">
            <v>2</v>
          </cell>
          <cell r="BO187">
            <v>2</v>
          </cell>
          <cell r="BP187">
            <v>2</v>
          </cell>
          <cell r="BQ187">
            <v>2</v>
          </cell>
          <cell r="BR187">
            <v>2</v>
          </cell>
          <cell r="BS187">
            <v>2</v>
          </cell>
          <cell r="BT187">
            <v>2</v>
          </cell>
          <cell r="BU187">
            <v>2</v>
          </cell>
          <cell r="BV187">
            <v>2</v>
          </cell>
          <cell r="BW187">
            <v>2</v>
          </cell>
          <cell r="BX187">
            <v>2</v>
          </cell>
          <cell r="BY187">
            <v>2</v>
          </cell>
          <cell r="BZ187">
            <v>2</v>
          </cell>
          <cell r="CA187">
            <v>2</v>
          </cell>
          <cell r="CB187">
            <v>2</v>
          </cell>
          <cell r="CC187">
            <v>2</v>
          </cell>
          <cell r="CD187">
            <v>2</v>
          </cell>
          <cell r="CE187">
            <v>2</v>
          </cell>
          <cell r="CF187">
            <v>2</v>
          </cell>
          <cell r="CG187">
            <v>2</v>
          </cell>
          <cell r="CH187">
            <v>2</v>
          </cell>
          <cell r="CI187">
            <v>2</v>
          </cell>
          <cell r="CJ187">
            <v>2</v>
          </cell>
          <cell r="CK187">
            <v>2</v>
          </cell>
          <cell r="CL187">
            <v>2</v>
          </cell>
          <cell r="DB187">
            <v>2</v>
          </cell>
          <cell r="DC187">
            <v>2</v>
          </cell>
          <cell r="DD187">
            <v>2</v>
          </cell>
          <cell r="DE187">
            <v>2</v>
          </cell>
          <cell r="DO187">
            <v>2</v>
          </cell>
          <cell r="DP187">
            <v>2</v>
          </cell>
          <cell r="DQ187">
            <v>2</v>
          </cell>
          <cell r="DR187">
            <v>2</v>
          </cell>
          <cell r="DS187">
            <v>2</v>
          </cell>
          <cell r="DT187">
            <v>2</v>
          </cell>
          <cell r="DU187">
            <v>2</v>
          </cell>
          <cell r="DV187">
            <v>2</v>
          </cell>
          <cell r="DW187">
            <v>2</v>
          </cell>
          <cell r="DX187">
            <v>2</v>
          </cell>
          <cell r="DY187">
            <v>2</v>
          </cell>
          <cell r="DZ187">
            <v>2</v>
          </cell>
          <cell r="EA187">
            <v>2</v>
          </cell>
          <cell r="EB187">
            <v>2</v>
          </cell>
          <cell r="EC187">
            <v>2</v>
          </cell>
          <cell r="ED187">
            <v>2</v>
          </cell>
          <cell r="EE187">
            <v>2</v>
          </cell>
          <cell r="EF187">
            <v>2</v>
          </cell>
          <cell r="EG187">
            <v>2</v>
          </cell>
          <cell r="EH187">
            <v>2</v>
          </cell>
          <cell r="EI187">
            <v>2</v>
          </cell>
          <cell r="EJ187">
            <v>2</v>
          </cell>
          <cell r="EK187">
            <v>2</v>
          </cell>
          <cell r="EL187">
            <v>2</v>
          </cell>
          <cell r="FD187">
            <v>0</v>
          </cell>
          <cell r="FE187">
            <v>56</v>
          </cell>
          <cell r="FF187">
            <v>0</v>
          </cell>
          <cell r="FH187">
            <v>0</v>
          </cell>
          <cell r="FI187">
            <v>0</v>
          </cell>
          <cell r="FJ187">
            <v>23</v>
          </cell>
          <cell r="FK187">
            <v>23</v>
          </cell>
          <cell r="FL187">
            <v>16</v>
          </cell>
          <cell r="FM187">
            <v>7</v>
          </cell>
          <cell r="FN187" t="str">
            <v>1</v>
          </cell>
          <cell r="FO187" t="str">
            <v>0</v>
          </cell>
          <cell r="FP187">
            <v>1</v>
          </cell>
          <cell r="FQ187" t="str">
            <v>21</v>
          </cell>
        </row>
        <row r="188">
          <cell r="F188" t="str">
            <v>오희수</v>
          </cell>
          <cell r="G188">
            <v>1</v>
          </cell>
          <cell r="H188">
            <v>1</v>
          </cell>
          <cell r="I188">
            <v>1</v>
          </cell>
          <cell r="J188">
            <v>1</v>
          </cell>
          <cell r="K188">
            <v>1</v>
          </cell>
          <cell r="L188">
            <v>1</v>
          </cell>
          <cell r="M188" t="str">
            <v>(5일)</v>
          </cell>
          <cell r="AV188">
            <v>3</v>
          </cell>
          <cell r="CV188">
            <v>1</v>
          </cell>
          <cell r="CW188">
            <v>1</v>
          </cell>
          <cell r="CX188">
            <v>1</v>
          </cell>
          <cell r="CY188" t="str">
            <v>(3일)</v>
          </cell>
          <cell r="EE188">
            <v>3</v>
          </cell>
          <cell r="EF188">
            <v>3</v>
          </cell>
          <cell r="FD188">
            <v>14</v>
          </cell>
          <cell r="FE188">
            <v>0</v>
          </cell>
          <cell r="FF188">
            <v>6</v>
          </cell>
          <cell r="FG188">
            <v>8</v>
          </cell>
          <cell r="FH188">
            <v>4</v>
          </cell>
          <cell r="FI188">
            <v>12</v>
          </cell>
          <cell r="FJ188">
            <v>24</v>
          </cell>
          <cell r="FK188">
            <v>12</v>
          </cell>
          <cell r="FL188">
            <v>16</v>
          </cell>
          <cell r="FM188">
            <v>-4</v>
          </cell>
          <cell r="FN188" t="str">
            <v>0</v>
          </cell>
          <cell r="FO188" t="str">
            <v>1</v>
          </cell>
          <cell r="FP188">
            <v>1</v>
          </cell>
          <cell r="FQ188" t="str">
            <v>21</v>
          </cell>
        </row>
        <row r="189">
          <cell r="F189" t="str">
            <v>조성식</v>
          </cell>
          <cell r="G189">
            <v>1</v>
          </cell>
          <cell r="H189" t="str">
            <v>(1일)</v>
          </cell>
          <cell r="R189">
            <v>1</v>
          </cell>
          <cell r="S189">
            <v>1</v>
          </cell>
          <cell r="T189">
            <v>1</v>
          </cell>
          <cell r="U189" t="str">
            <v>(3일)</v>
          </cell>
          <cell r="CN189">
            <v>2</v>
          </cell>
          <cell r="CS189">
            <v>2</v>
          </cell>
          <cell r="CT189">
            <v>2</v>
          </cell>
          <cell r="CU189">
            <v>2</v>
          </cell>
          <cell r="CV189">
            <v>2</v>
          </cell>
          <cell r="CW189">
            <v>2</v>
          </cell>
          <cell r="CX189">
            <v>2</v>
          </cell>
          <cell r="DI189">
            <v>2</v>
          </cell>
          <cell r="DJ189">
            <v>2</v>
          </cell>
          <cell r="DK189">
            <v>2</v>
          </cell>
          <cell r="DL189">
            <v>2</v>
          </cell>
          <cell r="DM189">
            <v>2</v>
          </cell>
          <cell r="DN189">
            <v>2</v>
          </cell>
          <cell r="FD189">
            <v>10</v>
          </cell>
          <cell r="FE189">
            <v>15</v>
          </cell>
          <cell r="FF189">
            <v>0</v>
          </cell>
          <cell r="FG189">
            <v>4</v>
          </cell>
          <cell r="FH189">
            <v>5</v>
          </cell>
          <cell r="FI189">
            <v>9</v>
          </cell>
          <cell r="FJ189">
            <v>24</v>
          </cell>
          <cell r="FK189">
            <v>15</v>
          </cell>
          <cell r="FL189">
            <v>16</v>
          </cell>
          <cell r="FM189">
            <v>-1</v>
          </cell>
          <cell r="FN189" t="str">
            <v>0</v>
          </cell>
          <cell r="FO189" t="str">
            <v>0</v>
          </cell>
          <cell r="FP189">
            <v>0</v>
          </cell>
          <cell r="FQ189" t="str">
            <v>21</v>
          </cell>
        </row>
        <row r="190">
          <cell r="F190" t="str">
            <v>손영건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P190" t="str">
            <v>(5일)</v>
          </cell>
          <cell r="BE190">
            <v>2</v>
          </cell>
          <cell r="CC190">
            <v>1</v>
          </cell>
          <cell r="CD190">
            <v>1</v>
          </cell>
          <cell r="CE190">
            <v>1</v>
          </cell>
          <cell r="CF190" t="str">
            <v>(2일)</v>
          </cell>
          <cell r="DZ190">
            <v>3</v>
          </cell>
          <cell r="EA190">
            <v>3</v>
          </cell>
          <cell r="EL190">
            <v>1</v>
          </cell>
          <cell r="EM190" t="str">
            <v>(1일)</v>
          </cell>
          <cell r="FD190">
            <v>13</v>
          </cell>
          <cell r="FE190">
            <v>22</v>
          </cell>
          <cell r="FF190">
            <v>10</v>
          </cell>
          <cell r="FG190">
            <v>8</v>
          </cell>
          <cell r="FH190">
            <v>3</v>
          </cell>
          <cell r="FI190">
            <v>11</v>
          </cell>
          <cell r="FJ190">
            <v>22</v>
          </cell>
          <cell r="FK190">
            <v>11</v>
          </cell>
          <cell r="FL190">
            <v>16</v>
          </cell>
          <cell r="FM190">
            <v>-5</v>
          </cell>
          <cell r="FN190" t="str">
            <v>0</v>
          </cell>
          <cell r="FO190" t="str">
            <v>0</v>
          </cell>
          <cell r="FP190">
            <v>0</v>
          </cell>
          <cell r="FQ190">
            <v>22</v>
          </cell>
        </row>
        <row r="191">
          <cell r="F191" t="str">
            <v>염원섭</v>
          </cell>
          <cell r="U191">
            <v>1</v>
          </cell>
          <cell r="V191">
            <v>1</v>
          </cell>
          <cell r="W191">
            <v>1</v>
          </cell>
          <cell r="X191">
            <v>1</v>
          </cell>
          <cell r="Y191">
            <v>1</v>
          </cell>
          <cell r="Z191" t="str">
            <v>(3일)</v>
          </cell>
          <cell r="AS191">
            <v>2</v>
          </cell>
          <cell r="AT191">
            <v>2</v>
          </cell>
          <cell r="AU191">
            <v>2</v>
          </cell>
          <cell r="DK191">
            <v>2</v>
          </cell>
          <cell r="DL191">
            <v>3</v>
          </cell>
          <cell r="DM191">
            <v>3</v>
          </cell>
          <cell r="DN191">
            <v>3</v>
          </cell>
          <cell r="DO191">
            <v>3</v>
          </cell>
          <cell r="DP191">
            <v>3</v>
          </cell>
          <cell r="DQ191">
            <v>3</v>
          </cell>
          <cell r="DR191">
            <v>3</v>
          </cell>
          <cell r="EG191">
            <v>3</v>
          </cell>
          <cell r="EH191">
            <v>3</v>
          </cell>
          <cell r="FD191">
            <v>6</v>
          </cell>
          <cell r="FE191">
            <v>4</v>
          </cell>
          <cell r="FF191">
            <v>9</v>
          </cell>
          <cell r="FG191">
            <v>3</v>
          </cell>
          <cell r="FH191">
            <v>1</v>
          </cell>
          <cell r="FI191">
            <v>4</v>
          </cell>
          <cell r="FJ191">
            <v>13</v>
          </cell>
          <cell r="FK191">
            <v>9</v>
          </cell>
          <cell r="FL191">
            <v>16</v>
          </cell>
          <cell r="FM191">
            <v>-7</v>
          </cell>
          <cell r="FN191" t="str">
            <v>0</v>
          </cell>
          <cell r="FO191" t="str">
            <v>0</v>
          </cell>
          <cell r="FP191">
            <v>0</v>
          </cell>
          <cell r="FQ191">
            <v>13</v>
          </cell>
        </row>
        <row r="192">
          <cell r="F192" t="str">
            <v>오병희</v>
          </cell>
          <cell r="T192">
            <v>1</v>
          </cell>
          <cell r="U192" t="str">
            <v>(1일)</v>
          </cell>
          <cell r="BP192">
            <v>1</v>
          </cell>
          <cell r="BQ192" t="str">
            <v>(1일)</v>
          </cell>
          <cell r="CL192">
            <v>1</v>
          </cell>
          <cell r="CM192" t="str">
            <v>(1일)</v>
          </cell>
          <cell r="CW192">
            <v>1</v>
          </cell>
          <cell r="CX192">
            <v>1</v>
          </cell>
          <cell r="CY192" t="str">
            <v>(2일)</v>
          </cell>
          <cell r="DV192">
            <v>3</v>
          </cell>
          <cell r="DW192">
            <v>3</v>
          </cell>
          <cell r="FD192">
            <v>8</v>
          </cell>
          <cell r="FE192">
            <v>0</v>
          </cell>
          <cell r="FF192">
            <v>2</v>
          </cell>
          <cell r="FG192">
            <v>5</v>
          </cell>
          <cell r="FH192">
            <v>2</v>
          </cell>
          <cell r="FI192">
            <v>7</v>
          </cell>
          <cell r="FJ192">
            <v>16</v>
          </cell>
          <cell r="FK192">
            <v>9</v>
          </cell>
          <cell r="FL192">
            <v>16</v>
          </cell>
          <cell r="FM192">
            <v>-7</v>
          </cell>
          <cell r="FN192" t="str">
            <v>0</v>
          </cell>
          <cell r="FO192" t="str">
            <v>1</v>
          </cell>
          <cell r="FP192">
            <v>1</v>
          </cell>
          <cell r="FQ192">
            <v>17</v>
          </cell>
        </row>
        <row r="193">
          <cell r="F193" t="str">
            <v>이종식</v>
          </cell>
          <cell r="W193">
            <v>1</v>
          </cell>
          <cell r="X193">
            <v>1</v>
          </cell>
          <cell r="Y193">
            <v>1</v>
          </cell>
          <cell r="Z193" t="str">
            <v>(2일)</v>
          </cell>
          <cell r="BY193">
            <v>1</v>
          </cell>
          <cell r="BZ193">
            <v>1</v>
          </cell>
          <cell r="CA193">
            <v>1</v>
          </cell>
          <cell r="CB193" t="str">
            <v>(2일)</v>
          </cell>
          <cell r="EC193">
            <v>3</v>
          </cell>
          <cell r="ED193">
            <v>3</v>
          </cell>
          <cell r="FD193">
            <v>6</v>
          </cell>
          <cell r="FE193">
            <v>0</v>
          </cell>
          <cell r="FF193">
            <v>8</v>
          </cell>
          <cell r="FG193">
            <v>4</v>
          </cell>
          <cell r="FH193">
            <v>0</v>
          </cell>
          <cell r="FI193">
            <v>4</v>
          </cell>
          <cell r="FJ193">
            <v>10</v>
          </cell>
          <cell r="FK193">
            <v>6</v>
          </cell>
          <cell r="FL193">
            <v>16</v>
          </cell>
          <cell r="FM193">
            <v>-10</v>
          </cell>
          <cell r="FN193" t="str">
            <v>0</v>
          </cell>
          <cell r="FO193" t="str">
            <v>1</v>
          </cell>
          <cell r="FP193">
            <v>1</v>
          </cell>
          <cell r="FQ193">
            <v>11</v>
          </cell>
        </row>
        <row r="194">
          <cell r="F194" t="str">
            <v>이권행</v>
          </cell>
          <cell r="CP194">
            <v>1</v>
          </cell>
          <cell r="CQ194">
            <v>1</v>
          </cell>
          <cell r="CR194">
            <v>1</v>
          </cell>
          <cell r="CS194" t="str">
            <v>(3일)</v>
          </cell>
          <cell r="DV194">
            <v>3</v>
          </cell>
          <cell r="DW194">
            <v>3</v>
          </cell>
          <cell r="FD194">
            <v>12</v>
          </cell>
          <cell r="FE194">
            <v>0</v>
          </cell>
          <cell r="FF194">
            <v>2</v>
          </cell>
          <cell r="FG194">
            <v>3</v>
          </cell>
          <cell r="FH194">
            <v>7</v>
          </cell>
          <cell r="FI194">
            <v>10</v>
          </cell>
          <cell r="FJ194">
            <v>24</v>
          </cell>
          <cell r="FK194">
            <v>14</v>
          </cell>
          <cell r="FL194">
            <v>16</v>
          </cell>
          <cell r="FM194">
            <v>-2</v>
          </cell>
          <cell r="FN194" t="str">
            <v>0</v>
          </cell>
          <cell r="FO194" t="str">
            <v>1</v>
          </cell>
          <cell r="FP194">
            <v>1</v>
          </cell>
          <cell r="FQ194" t="str">
            <v>21</v>
          </cell>
        </row>
        <row r="195">
          <cell r="F195" t="str">
            <v>윤태철</v>
          </cell>
          <cell r="G195">
            <v>1</v>
          </cell>
          <cell r="H195">
            <v>1</v>
          </cell>
          <cell r="I195">
            <v>1</v>
          </cell>
          <cell r="J195">
            <v>1</v>
          </cell>
          <cell r="K195">
            <v>1</v>
          </cell>
          <cell r="L195" t="str">
            <v>(2일)</v>
          </cell>
          <cell r="CM195">
            <v>1</v>
          </cell>
          <cell r="CN195">
            <v>1</v>
          </cell>
          <cell r="CO195">
            <v>1</v>
          </cell>
          <cell r="CP195" t="str">
            <v>(2일)</v>
          </cell>
          <cell r="DZ195">
            <v>3</v>
          </cell>
          <cell r="EA195">
            <v>3</v>
          </cell>
          <cell r="FD195">
            <v>9</v>
          </cell>
          <cell r="FE195">
            <v>0</v>
          </cell>
          <cell r="FF195">
            <v>3</v>
          </cell>
          <cell r="FG195">
            <v>4</v>
          </cell>
          <cell r="FH195">
            <v>1</v>
          </cell>
          <cell r="FI195">
            <v>5</v>
          </cell>
          <cell r="FJ195">
            <v>25</v>
          </cell>
          <cell r="FK195">
            <v>20</v>
          </cell>
          <cell r="FL195">
            <v>16</v>
          </cell>
          <cell r="FM195">
            <v>4</v>
          </cell>
          <cell r="FN195" t="str">
            <v>1</v>
          </cell>
          <cell r="FO195" t="str">
            <v>1</v>
          </cell>
          <cell r="FP195">
            <v>2</v>
          </cell>
          <cell r="FQ195" t="str">
            <v>21</v>
          </cell>
        </row>
        <row r="196">
          <cell r="F196" t="str">
            <v>임창호</v>
          </cell>
          <cell r="CT196">
            <v>1</v>
          </cell>
          <cell r="CU196">
            <v>1</v>
          </cell>
          <cell r="CV196">
            <v>1</v>
          </cell>
          <cell r="CW196" t="str">
            <v>(2일)</v>
          </cell>
          <cell r="DZ196">
            <v>3</v>
          </cell>
          <cell r="EA196">
            <v>3</v>
          </cell>
          <cell r="FD196">
            <v>13</v>
          </cell>
          <cell r="FE196">
            <v>6</v>
          </cell>
          <cell r="FF196">
            <v>2</v>
          </cell>
          <cell r="FG196">
            <v>2</v>
          </cell>
          <cell r="FH196">
            <v>7</v>
          </cell>
          <cell r="FI196">
            <v>9</v>
          </cell>
          <cell r="FJ196">
            <v>23</v>
          </cell>
          <cell r="FK196">
            <v>14</v>
          </cell>
          <cell r="FL196">
            <v>16</v>
          </cell>
          <cell r="FM196">
            <v>-2</v>
          </cell>
          <cell r="FN196" t="str">
            <v>0</v>
          </cell>
          <cell r="FO196" t="str">
            <v>0</v>
          </cell>
          <cell r="FP196">
            <v>0</v>
          </cell>
          <cell r="FQ196" t="str">
            <v>21</v>
          </cell>
        </row>
        <row r="197">
          <cell r="F197" t="str">
            <v>김동혁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 t="str">
            <v>(4일)</v>
          </cell>
          <cell r="CF197">
            <v>1</v>
          </cell>
          <cell r="CG197">
            <v>1</v>
          </cell>
          <cell r="CH197">
            <v>1</v>
          </cell>
          <cell r="CI197" t="str">
            <v>(3일)</v>
          </cell>
          <cell r="DS197">
            <v>3</v>
          </cell>
          <cell r="DT197">
            <v>3</v>
          </cell>
          <cell r="FD197">
            <v>11</v>
          </cell>
          <cell r="FE197">
            <v>14</v>
          </cell>
          <cell r="FF197">
            <v>9</v>
          </cell>
          <cell r="FG197">
            <v>7</v>
          </cell>
          <cell r="FH197">
            <v>0</v>
          </cell>
          <cell r="FI197">
            <v>7</v>
          </cell>
          <cell r="FJ197">
            <v>23</v>
          </cell>
          <cell r="FK197">
            <v>16</v>
          </cell>
          <cell r="FL197">
            <v>16</v>
          </cell>
          <cell r="FM197">
            <v>0</v>
          </cell>
          <cell r="FN197" t="str">
            <v>0</v>
          </cell>
          <cell r="FO197" t="str">
            <v>0</v>
          </cell>
          <cell r="FP197">
            <v>0</v>
          </cell>
          <cell r="FQ197" t="str">
            <v>21</v>
          </cell>
        </row>
        <row r="198">
          <cell r="F198" t="str">
            <v>최대상</v>
          </cell>
          <cell r="AP198">
            <v>1</v>
          </cell>
          <cell r="AQ198">
            <v>1</v>
          </cell>
          <cell r="AR198">
            <v>1</v>
          </cell>
          <cell r="AS198">
            <v>1</v>
          </cell>
          <cell r="AT198">
            <v>1</v>
          </cell>
          <cell r="AU198">
            <v>1</v>
          </cell>
          <cell r="AV198" t="str">
            <v>(3일)</v>
          </cell>
          <cell r="CB198">
            <v>1</v>
          </cell>
          <cell r="CC198">
            <v>1</v>
          </cell>
          <cell r="CD198">
            <v>1</v>
          </cell>
          <cell r="CE198" t="str">
            <v>(2일)</v>
          </cell>
          <cell r="DO198">
            <v>3</v>
          </cell>
          <cell r="DP198">
            <v>3</v>
          </cell>
          <cell r="ER198">
            <v>3</v>
          </cell>
          <cell r="ES198">
            <v>3</v>
          </cell>
          <cell r="ET198">
            <v>3</v>
          </cell>
          <cell r="EU198">
            <v>3</v>
          </cell>
          <cell r="EV198">
            <v>3</v>
          </cell>
          <cell r="EW198">
            <v>3</v>
          </cell>
          <cell r="EX198">
            <v>3</v>
          </cell>
          <cell r="FD198">
            <v>11</v>
          </cell>
          <cell r="FE198">
            <v>0</v>
          </cell>
          <cell r="FF198">
            <v>12</v>
          </cell>
          <cell r="FG198">
            <v>5</v>
          </cell>
          <cell r="FH198">
            <v>1</v>
          </cell>
          <cell r="FI198">
            <v>6</v>
          </cell>
          <cell r="FJ198">
            <v>24</v>
          </cell>
          <cell r="FK198">
            <v>18</v>
          </cell>
          <cell r="FL198">
            <v>16</v>
          </cell>
          <cell r="FM198">
            <v>2</v>
          </cell>
          <cell r="FN198" t="str">
            <v>1</v>
          </cell>
          <cell r="FO198" t="str">
            <v>1</v>
          </cell>
          <cell r="FP198">
            <v>2</v>
          </cell>
          <cell r="FQ198" t="str">
            <v>21</v>
          </cell>
        </row>
        <row r="199">
          <cell r="F199" t="str">
            <v>방현갑</v>
          </cell>
          <cell r="CZ199">
            <v>1</v>
          </cell>
          <cell r="DA199" t="str">
            <v>(1일)</v>
          </cell>
          <cell r="DS199">
            <v>3</v>
          </cell>
          <cell r="DT199">
            <v>3</v>
          </cell>
          <cell r="FD199">
            <v>15</v>
          </cell>
          <cell r="FE199">
            <v>14</v>
          </cell>
          <cell r="FF199">
            <v>2</v>
          </cell>
          <cell r="FG199">
            <v>1</v>
          </cell>
          <cell r="FH199">
            <v>12</v>
          </cell>
          <cell r="FI199">
            <v>13</v>
          </cell>
          <cell r="FJ199">
            <v>23</v>
          </cell>
          <cell r="FK199">
            <v>10</v>
          </cell>
          <cell r="FL199">
            <v>16</v>
          </cell>
          <cell r="FM199">
            <v>-6</v>
          </cell>
          <cell r="FN199" t="str">
            <v>0</v>
          </cell>
          <cell r="FO199" t="str">
            <v>0</v>
          </cell>
          <cell r="FP199">
            <v>0</v>
          </cell>
          <cell r="FQ199" t="str">
            <v>21</v>
          </cell>
        </row>
        <row r="200">
          <cell r="F200" t="str">
            <v>신경하</v>
          </cell>
          <cell r="G200">
            <v>2</v>
          </cell>
          <cell r="H200">
            <v>2</v>
          </cell>
          <cell r="I200">
            <v>2</v>
          </cell>
          <cell r="J200">
            <v>2</v>
          </cell>
          <cell r="K200">
            <v>2</v>
          </cell>
          <cell r="L200">
            <v>2</v>
          </cell>
          <cell r="M200">
            <v>2</v>
          </cell>
          <cell r="N200">
            <v>2</v>
          </cell>
          <cell r="O200">
            <v>2</v>
          </cell>
          <cell r="P200">
            <v>2</v>
          </cell>
          <cell r="Q200">
            <v>2</v>
          </cell>
          <cell r="R200">
            <v>2</v>
          </cell>
          <cell r="S200">
            <v>2</v>
          </cell>
          <cell r="T200">
            <v>2</v>
          </cell>
          <cell r="U200">
            <v>2</v>
          </cell>
          <cell r="V200">
            <v>2</v>
          </cell>
          <cell r="W200">
            <v>2</v>
          </cell>
          <cell r="X200">
            <v>2</v>
          </cell>
          <cell r="DQ200">
            <v>3</v>
          </cell>
          <cell r="DR200">
            <v>3</v>
          </cell>
          <cell r="EF200">
            <v>2</v>
          </cell>
          <cell r="EI200">
            <v>2</v>
          </cell>
          <cell r="EJ200">
            <v>2</v>
          </cell>
          <cell r="EK200">
            <v>2</v>
          </cell>
          <cell r="FD200">
            <v>5</v>
          </cell>
          <cell r="FE200">
            <v>52</v>
          </cell>
          <cell r="FF200">
            <v>5</v>
          </cell>
          <cell r="FH200">
            <v>5</v>
          </cell>
          <cell r="FI200">
            <v>5</v>
          </cell>
          <cell r="FJ200">
            <v>24</v>
          </cell>
          <cell r="FK200">
            <v>19</v>
          </cell>
          <cell r="FL200">
            <v>16</v>
          </cell>
          <cell r="FM200">
            <v>3</v>
          </cell>
          <cell r="FN200" t="str">
            <v>1</v>
          </cell>
          <cell r="FO200" t="str">
            <v>0</v>
          </cell>
          <cell r="FP200">
            <v>1</v>
          </cell>
          <cell r="FQ200" t="str">
            <v>21</v>
          </cell>
        </row>
        <row r="201">
          <cell r="F201" t="str">
            <v>이순상</v>
          </cell>
          <cell r="H201">
            <v>1</v>
          </cell>
          <cell r="I201">
            <v>1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 t="str">
            <v>(4일)</v>
          </cell>
          <cell r="AT201">
            <v>1</v>
          </cell>
          <cell r="AU201">
            <v>1</v>
          </cell>
          <cell r="AV201" t="str">
            <v>(1일)</v>
          </cell>
          <cell r="CT201">
            <v>1</v>
          </cell>
          <cell r="CU201">
            <v>1</v>
          </cell>
          <cell r="CV201">
            <v>1</v>
          </cell>
          <cell r="CW201" t="str">
            <v>(2일)</v>
          </cell>
          <cell r="DU201">
            <v>1</v>
          </cell>
          <cell r="DV201" t="str">
            <v>(1일)</v>
          </cell>
          <cell r="EG201">
            <v>3</v>
          </cell>
          <cell r="EH201">
            <v>3</v>
          </cell>
          <cell r="ET201">
            <v>2</v>
          </cell>
          <cell r="FD201">
            <v>16</v>
          </cell>
          <cell r="FE201">
            <v>1</v>
          </cell>
          <cell r="FF201">
            <v>2</v>
          </cell>
          <cell r="FG201">
            <v>8</v>
          </cell>
          <cell r="FH201">
            <v>3</v>
          </cell>
          <cell r="FI201">
            <v>11</v>
          </cell>
          <cell r="FJ201">
            <v>23</v>
          </cell>
          <cell r="FK201">
            <v>12</v>
          </cell>
          <cell r="FL201">
            <v>16</v>
          </cell>
          <cell r="FM201">
            <v>-4</v>
          </cell>
          <cell r="FN201" t="str">
            <v>0</v>
          </cell>
          <cell r="FO201" t="str">
            <v>0</v>
          </cell>
          <cell r="FP201">
            <v>0</v>
          </cell>
          <cell r="FQ201" t="str">
            <v>21</v>
          </cell>
        </row>
        <row r="202">
          <cell r="F202" t="str">
            <v>이응준</v>
          </cell>
          <cell r="BA202">
            <v>1</v>
          </cell>
          <cell r="BB202" t="str">
            <v>(1일)</v>
          </cell>
          <cell r="BY202">
            <v>1</v>
          </cell>
          <cell r="BZ202">
            <v>1</v>
          </cell>
          <cell r="CA202">
            <v>1</v>
          </cell>
          <cell r="CB202" t="str">
            <v>(2일)</v>
          </cell>
          <cell r="DV202">
            <v>3</v>
          </cell>
          <cell r="DW202">
            <v>3</v>
          </cell>
          <cell r="FD202">
            <v>7</v>
          </cell>
          <cell r="FE202">
            <v>0</v>
          </cell>
          <cell r="FF202">
            <v>2</v>
          </cell>
          <cell r="FG202">
            <v>3</v>
          </cell>
          <cell r="FH202">
            <v>3</v>
          </cell>
          <cell r="FI202">
            <v>6</v>
          </cell>
          <cell r="FJ202">
            <v>24</v>
          </cell>
          <cell r="FK202">
            <v>18</v>
          </cell>
          <cell r="FL202">
            <v>16</v>
          </cell>
          <cell r="FM202">
            <v>2</v>
          </cell>
          <cell r="FN202" t="str">
            <v>1</v>
          </cell>
          <cell r="FO202" t="str">
            <v>1</v>
          </cell>
          <cell r="FP202">
            <v>2</v>
          </cell>
          <cell r="FQ202" t="str">
            <v>21</v>
          </cell>
        </row>
        <row r="203">
          <cell r="F203" t="str">
            <v>백영민</v>
          </cell>
          <cell r="CI203">
            <v>1</v>
          </cell>
          <cell r="CJ203">
            <v>1</v>
          </cell>
          <cell r="CK203">
            <v>1</v>
          </cell>
          <cell r="CL203" t="str">
            <v>(2일)</v>
          </cell>
          <cell r="EE203">
            <v>3</v>
          </cell>
          <cell r="EF203">
            <v>3</v>
          </cell>
          <cell r="FD203">
            <v>9</v>
          </cell>
          <cell r="FE203">
            <v>4</v>
          </cell>
          <cell r="FF203">
            <v>2</v>
          </cell>
          <cell r="FG203">
            <v>2</v>
          </cell>
          <cell r="FH203">
            <v>4</v>
          </cell>
          <cell r="FI203">
            <v>6</v>
          </cell>
          <cell r="FJ203">
            <v>16</v>
          </cell>
          <cell r="FK203">
            <v>10</v>
          </cell>
          <cell r="FL203">
            <v>16</v>
          </cell>
          <cell r="FM203">
            <v>-6</v>
          </cell>
          <cell r="FN203" t="str">
            <v>0</v>
          </cell>
          <cell r="FO203" t="str">
            <v>0</v>
          </cell>
          <cell r="FP203">
            <v>0</v>
          </cell>
          <cell r="FQ203">
            <v>16</v>
          </cell>
        </row>
        <row r="204">
          <cell r="F204" t="str">
            <v>강진혁</v>
          </cell>
          <cell r="BQ204">
            <v>1</v>
          </cell>
          <cell r="BR204">
            <v>1</v>
          </cell>
          <cell r="BS204">
            <v>1</v>
          </cell>
          <cell r="BT204" t="str">
            <v>(2일)</v>
          </cell>
          <cell r="DQ204">
            <v>3</v>
          </cell>
          <cell r="DR204">
            <v>3</v>
          </cell>
          <cell r="EP204">
            <v>3</v>
          </cell>
          <cell r="EQ204">
            <v>3</v>
          </cell>
          <cell r="ER204">
            <v>3</v>
          </cell>
          <cell r="ES204">
            <v>3</v>
          </cell>
          <cell r="ET204">
            <v>3</v>
          </cell>
          <cell r="EU204">
            <v>3</v>
          </cell>
          <cell r="EV204">
            <v>3</v>
          </cell>
          <cell r="FD204">
            <v>9</v>
          </cell>
          <cell r="FE204">
            <v>0</v>
          </cell>
          <cell r="FF204">
            <v>9</v>
          </cell>
          <cell r="FG204">
            <v>2</v>
          </cell>
          <cell r="FH204">
            <v>4</v>
          </cell>
          <cell r="FI204">
            <v>6</v>
          </cell>
          <cell r="FJ204">
            <v>16</v>
          </cell>
          <cell r="FK204">
            <v>10</v>
          </cell>
          <cell r="FL204">
            <v>16</v>
          </cell>
          <cell r="FM204">
            <v>-6</v>
          </cell>
          <cell r="FN204" t="str">
            <v>0</v>
          </cell>
          <cell r="FO204" t="str">
            <v>1</v>
          </cell>
          <cell r="FP204">
            <v>1</v>
          </cell>
          <cell r="FQ204">
            <v>17</v>
          </cell>
        </row>
        <row r="205">
          <cell r="F205" t="str">
            <v>홍경철</v>
          </cell>
          <cell r="U205">
            <v>1</v>
          </cell>
          <cell r="V205">
            <v>1</v>
          </cell>
          <cell r="W205">
            <v>1</v>
          </cell>
          <cell r="X205">
            <v>1</v>
          </cell>
          <cell r="Y205">
            <v>1</v>
          </cell>
          <cell r="Z205">
            <v>1</v>
          </cell>
          <cell r="AA205" t="str">
            <v>(5일)</v>
          </cell>
          <cell r="CM205">
            <v>1</v>
          </cell>
          <cell r="CN205">
            <v>1</v>
          </cell>
          <cell r="CO205">
            <v>1</v>
          </cell>
          <cell r="CP205" t="str">
            <v>(2일)</v>
          </cell>
          <cell r="EE205">
            <v>3</v>
          </cell>
          <cell r="EF205">
            <v>3</v>
          </cell>
          <cell r="FD205">
            <v>9</v>
          </cell>
          <cell r="FE205">
            <v>0</v>
          </cell>
          <cell r="FF205">
            <v>2</v>
          </cell>
          <cell r="FG205">
            <v>7</v>
          </cell>
          <cell r="FH205">
            <v>0</v>
          </cell>
          <cell r="FI205">
            <v>7</v>
          </cell>
          <cell r="FJ205">
            <v>16</v>
          </cell>
          <cell r="FK205">
            <v>9</v>
          </cell>
          <cell r="FL205">
            <v>16</v>
          </cell>
          <cell r="FM205">
            <v>-7</v>
          </cell>
          <cell r="FN205" t="str">
            <v>0</v>
          </cell>
          <cell r="FO205" t="str">
            <v>1</v>
          </cell>
          <cell r="FP205">
            <v>1</v>
          </cell>
          <cell r="FQ205">
            <v>17</v>
          </cell>
        </row>
        <row r="206">
          <cell r="F206" t="str">
            <v>신재훈</v>
          </cell>
          <cell r="U206">
            <v>1</v>
          </cell>
          <cell r="V206">
            <v>1</v>
          </cell>
          <cell r="W206">
            <v>1</v>
          </cell>
          <cell r="X206">
            <v>1</v>
          </cell>
          <cell r="Y206">
            <v>1</v>
          </cell>
          <cell r="Z206">
            <v>1</v>
          </cell>
          <cell r="AA206" t="str">
            <v>(5일)</v>
          </cell>
          <cell r="CP206">
            <v>1</v>
          </cell>
          <cell r="CQ206">
            <v>1</v>
          </cell>
          <cell r="CR206">
            <v>1</v>
          </cell>
          <cell r="CS206" t="str">
            <v>(3일)</v>
          </cell>
          <cell r="EG206">
            <v>3</v>
          </cell>
          <cell r="EH206">
            <v>3</v>
          </cell>
          <cell r="FD206">
            <v>9</v>
          </cell>
          <cell r="FE206">
            <v>0</v>
          </cell>
          <cell r="FF206">
            <v>2</v>
          </cell>
          <cell r="FG206">
            <v>8</v>
          </cell>
          <cell r="FH206">
            <v>0</v>
          </cell>
          <cell r="FI206">
            <v>8</v>
          </cell>
          <cell r="FJ206">
            <v>16</v>
          </cell>
          <cell r="FK206">
            <v>8</v>
          </cell>
          <cell r="FL206">
            <v>16</v>
          </cell>
          <cell r="FM206">
            <v>-8</v>
          </cell>
          <cell r="FN206" t="str">
            <v>0</v>
          </cell>
          <cell r="FO206" t="str">
            <v>1</v>
          </cell>
          <cell r="FP206">
            <v>1</v>
          </cell>
          <cell r="FQ206">
            <v>17</v>
          </cell>
        </row>
        <row r="207">
          <cell r="F207" t="str">
            <v>권영일</v>
          </cell>
          <cell r="G207">
            <v>1</v>
          </cell>
          <cell r="H207">
            <v>1</v>
          </cell>
          <cell r="I207">
            <v>1</v>
          </cell>
          <cell r="J207" t="str">
            <v>(1일)</v>
          </cell>
          <cell r="AA207">
            <v>1</v>
          </cell>
          <cell r="AB207" t="str">
            <v>(1일)</v>
          </cell>
          <cell r="AQ207">
            <v>2</v>
          </cell>
          <cell r="CE207">
            <v>1</v>
          </cell>
          <cell r="CF207" t="str">
            <v>(1일)</v>
          </cell>
          <cell r="CT207">
            <v>1</v>
          </cell>
          <cell r="CU207">
            <v>1</v>
          </cell>
          <cell r="CV207">
            <v>1</v>
          </cell>
          <cell r="CW207" t="str">
            <v>(2일)</v>
          </cell>
          <cell r="EG207">
            <v>3</v>
          </cell>
          <cell r="EH207">
            <v>3</v>
          </cell>
          <cell r="FD207">
            <v>14</v>
          </cell>
          <cell r="FE207">
            <v>2</v>
          </cell>
          <cell r="FF207">
            <v>2</v>
          </cell>
          <cell r="FG207">
            <v>5</v>
          </cell>
          <cell r="FH207">
            <v>6</v>
          </cell>
          <cell r="FI207">
            <v>11</v>
          </cell>
          <cell r="FJ207">
            <v>23</v>
          </cell>
          <cell r="FK207">
            <v>12</v>
          </cell>
          <cell r="FL207">
            <v>16</v>
          </cell>
          <cell r="FM207">
            <v>-4</v>
          </cell>
          <cell r="FN207" t="str">
            <v>0</v>
          </cell>
          <cell r="FO207" t="str">
            <v>0</v>
          </cell>
          <cell r="FP207">
            <v>0</v>
          </cell>
          <cell r="FQ207" t="str">
            <v>21</v>
          </cell>
        </row>
        <row r="208">
          <cell r="F208" t="str">
            <v>강대진</v>
          </cell>
          <cell r="G208">
            <v>1</v>
          </cell>
          <cell r="H208">
            <v>1</v>
          </cell>
          <cell r="I208">
            <v>1</v>
          </cell>
          <cell r="J208">
            <v>1</v>
          </cell>
          <cell r="K208">
            <v>1</v>
          </cell>
          <cell r="L208">
            <v>1</v>
          </cell>
          <cell r="M208" t="str">
            <v>(5일)</v>
          </cell>
          <cell r="CT208">
            <v>1</v>
          </cell>
          <cell r="CU208">
            <v>1</v>
          </cell>
          <cell r="CV208">
            <v>1</v>
          </cell>
          <cell r="CW208" t="str">
            <v>(3일)</v>
          </cell>
          <cell r="DS208">
            <v>3</v>
          </cell>
          <cell r="DT208">
            <v>1</v>
          </cell>
          <cell r="DU208">
            <v>1</v>
          </cell>
          <cell r="DV208">
            <v>1</v>
          </cell>
          <cell r="DW208" t="str">
            <v>(1일)</v>
          </cell>
          <cell r="FD208">
            <v>18</v>
          </cell>
          <cell r="FE208">
            <v>0</v>
          </cell>
          <cell r="FF208">
            <v>1</v>
          </cell>
          <cell r="FG208">
            <v>9</v>
          </cell>
          <cell r="FH208">
            <v>4</v>
          </cell>
          <cell r="FI208">
            <v>13</v>
          </cell>
          <cell r="FJ208">
            <v>25</v>
          </cell>
          <cell r="FK208">
            <v>12</v>
          </cell>
          <cell r="FL208">
            <v>16</v>
          </cell>
          <cell r="FM208">
            <v>-4</v>
          </cell>
          <cell r="FN208" t="str">
            <v>0</v>
          </cell>
          <cell r="FO208" t="str">
            <v>1</v>
          </cell>
          <cell r="FP208">
            <v>1</v>
          </cell>
          <cell r="FQ208" t="str">
            <v>21</v>
          </cell>
        </row>
        <row r="209">
          <cell r="F209" t="str">
            <v>김석주</v>
          </cell>
          <cell r="BV209">
            <v>2</v>
          </cell>
          <cell r="BW209">
            <v>2</v>
          </cell>
          <cell r="BX209">
            <v>2</v>
          </cell>
          <cell r="BY209">
            <v>2</v>
          </cell>
          <cell r="BZ209">
            <v>2</v>
          </cell>
          <cell r="EC209">
            <v>3</v>
          </cell>
          <cell r="ED209">
            <v>3</v>
          </cell>
          <cell r="FD209">
            <v>8</v>
          </cell>
          <cell r="FE209">
            <v>5</v>
          </cell>
          <cell r="FF209">
            <v>2</v>
          </cell>
          <cell r="FH209">
            <v>6</v>
          </cell>
          <cell r="FI209">
            <v>6</v>
          </cell>
          <cell r="FJ209">
            <v>23</v>
          </cell>
          <cell r="FK209">
            <v>17</v>
          </cell>
          <cell r="FL209">
            <v>16</v>
          </cell>
          <cell r="FM209">
            <v>1</v>
          </cell>
          <cell r="FN209" t="str">
            <v>1</v>
          </cell>
          <cell r="FO209" t="str">
            <v>0</v>
          </cell>
          <cell r="FP209">
            <v>1</v>
          </cell>
          <cell r="FQ209" t="str">
            <v>21</v>
          </cell>
        </row>
        <row r="210">
          <cell r="F210" t="str">
            <v>홍순철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 t="str">
            <v>(5일)</v>
          </cell>
          <cell r="CP210">
            <v>1</v>
          </cell>
          <cell r="CQ210">
            <v>1</v>
          </cell>
          <cell r="CR210">
            <v>1</v>
          </cell>
          <cell r="CS210" t="str">
            <v>(2일)</v>
          </cell>
          <cell r="DX210">
            <v>3</v>
          </cell>
          <cell r="DY210">
            <v>3</v>
          </cell>
          <cell r="FD210">
            <v>13</v>
          </cell>
          <cell r="FE210">
            <v>0</v>
          </cell>
          <cell r="FF210">
            <v>2</v>
          </cell>
          <cell r="FG210">
            <v>7</v>
          </cell>
          <cell r="FH210">
            <v>2</v>
          </cell>
          <cell r="FI210">
            <v>9</v>
          </cell>
          <cell r="FJ210">
            <v>25</v>
          </cell>
          <cell r="FK210">
            <v>16</v>
          </cell>
          <cell r="FL210">
            <v>16</v>
          </cell>
          <cell r="FM210">
            <v>0</v>
          </cell>
          <cell r="FN210" t="str">
            <v>0</v>
          </cell>
          <cell r="FO210" t="str">
            <v>1</v>
          </cell>
          <cell r="FP210">
            <v>1</v>
          </cell>
          <cell r="FQ210" t="str">
            <v>21</v>
          </cell>
        </row>
        <row r="211">
          <cell r="F211" t="str">
            <v>유춘길</v>
          </cell>
          <cell r="CU211">
            <v>1</v>
          </cell>
          <cell r="CV211">
            <v>1</v>
          </cell>
          <cell r="CW211" t="str">
            <v>(2일)</v>
          </cell>
          <cell r="EG211">
            <v>3</v>
          </cell>
          <cell r="EH211">
            <v>3</v>
          </cell>
          <cell r="FD211">
            <v>8</v>
          </cell>
          <cell r="FE211">
            <v>0</v>
          </cell>
          <cell r="FF211">
            <v>2</v>
          </cell>
          <cell r="FG211">
            <v>2</v>
          </cell>
          <cell r="FH211">
            <v>5</v>
          </cell>
          <cell r="FI211">
            <v>7</v>
          </cell>
          <cell r="FJ211">
            <v>24</v>
          </cell>
          <cell r="FK211">
            <v>17</v>
          </cell>
          <cell r="FL211">
            <v>16</v>
          </cell>
          <cell r="FM211">
            <v>1</v>
          </cell>
          <cell r="FN211" t="str">
            <v>1</v>
          </cell>
          <cell r="FO211" t="str">
            <v>1</v>
          </cell>
          <cell r="FP211">
            <v>2</v>
          </cell>
          <cell r="FQ211" t="str">
            <v>21</v>
          </cell>
        </row>
        <row r="212">
          <cell r="F212" t="str">
            <v>윤흥구</v>
          </cell>
          <cell r="G212">
            <v>1</v>
          </cell>
          <cell r="H212">
            <v>1</v>
          </cell>
          <cell r="I212">
            <v>1</v>
          </cell>
          <cell r="J212">
            <v>1</v>
          </cell>
          <cell r="K212">
            <v>1</v>
          </cell>
          <cell r="L212">
            <v>1</v>
          </cell>
          <cell r="M212" t="str">
            <v>(5일)</v>
          </cell>
          <cell r="CM212">
            <v>1</v>
          </cell>
          <cell r="CN212">
            <v>1</v>
          </cell>
          <cell r="CO212">
            <v>1</v>
          </cell>
          <cell r="CP212" t="str">
            <v>(3일)</v>
          </cell>
          <cell r="DV212">
            <v>3</v>
          </cell>
          <cell r="DW212">
            <v>3</v>
          </cell>
          <cell r="FD212">
            <v>11</v>
          </cell>
          <cell r="FE212">
            <v>0</v>
          </cell>
          <cell r="FF212">
            <v>2</v>
          </cell>
          <cell r="FG212">
            <v>8</v>
          </cell>
          <cell r="FH212">
            <v>0</v>
          </cell>
          <cell r="FI212">
            <v>8</v>
          </cell>
          <cell r="FJ212">
            <v>24</v>
          </cell>
          <cell r="FK212">
            <v>16</v>
          </cell>
          <cell r="FL212">
            <v>16</v>
          </cell>
          <cell r="FM212">
            <v>0</v>
          </cell>
          <cell r="FN212" t="str">
            <v>0</v>
          </cell>
          <cell r="FO212" t="str">
            <v>1</v>
          </cell>
          <cell r="FP212">
            <v>1</v>
          </cell>
          <cell r="FQ212" t="str">
            <v>21</v>
          </cell>
        </row>
        <row r="213">
          <cell r="F213" t="str">
            <v>박영배</v>
          </cell>
          <cell r="G213">
            <v>1</v>
          </cell>
          <cell r="H213">
            <v>1</v>
          </cell>
          <cell r="I213">
            <v>1</v>
          </cell>
          <cell r="J213" t="str">
            <v>(3일)</v>
          </cell>
          <cell r="CM213">
            <v>1</v>
          </cell>
          <cell r="CN213">
            <v>1</v>
          </cell>
          <cell r="CO213">
            <v>1</v>
          </cell>
          <cell r="CP213" t="str">
            <v>(3일)</v>
          </cell>
          <cell r="EG213">
            <v>3</v>
          </cell>
          <cell r="EH213">
            <v>3</v>
          </cell>
          <cell r="FD213">
            <v>7</v>
          </cell>
          <cell r="FE213">
            <v>0</v>
          </cell>
          <cell r="FF213">
            <v>2</v>
          </cell>
          <cell r="FG213">
            <v>6</v>
          </cell>
          <cell r="FH213">
            <v>1</v>
          </cell>
          <cell r="FI213">
            <v>7</v>
          </cell>
          <cell r="FJ213">
            <v>25</v>
          </cell>
          <cell r="FK213">
            <v>18</v>
          </cell>
          <cell r="FL213">
            <v>16</v>
          </cell>
          <cell r="FM213">
            <v>2</v>
          </cell>
          <cell r="FN213" t="str">
            <v>1</v>
          </cell>
          <cell r="FO213" t="str">
            <v>1</v>
          </cell>
          <cell r="FP213">
            <v>2</v>
          </cell>
          <cell r="FQ213" t="str">
            <v>21</v>
          </cell>
        </row>
        <row r="214">
          <cell r="F214" t="str">
            <v>임성민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 t="str">
            <v>(5일)</v>
          </cell>
          <cell r="BY214">
            <v>1</v>
          </cell>
          <cell r="BZ214">
            <v>1</v>
          </cell>
          <cell r="CA214">
            <v>1</v>
          </cell>
          <cell r="CB214" t="str">
            <v>(3일)</v>
          </cell>
          <cell r="DV214">
            <v>3</v>
          </cell>
          <cell r="DW214">
            <v>3</v>
          </cell>
          <cell r="FD214">
            <v>11</v>
          </cell>
          <cell r="FE214">
            <v>1</v>
          </cell>
          <cell r="FF214">
            <v>2</v>
          </cell>
          <cell r="FG214">
            <v>8</v>
          </cell>
          <cell r="FH214">
            <v>3</v>
          </cell>
          <cell r="FI214">
            <v>11</v>
          </cell>
          <cell r="FJ214">
            <v>25</v>
          </cell>
          <cell r="FK214">
            <v>14</v>
          </cell>
          <cell r="FL214">
            <v>16</v>
          </cell>
          <cell r="FM214">
            <v>-2</v>
          </cell>
          <cell r="FN214" t="str">
            <v>0</v>
          </cell>
          <cell r="FO214" t="str">
            <v>0</v>
          </cell>
          <cell r="FP214">
            <v>0</v>
          </cell>
          <cell r="FQ214" t="str">
            <v>21</v>
          </cell>
        </row>
        <row r="215">
          <cell r="F215" t="str">
            <v>이서은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 t="str">
            <v>(5일)</v>
          </cell>
          <cell r="CF215">
            <v>1</v>
          </cell>
          <cell r="CG215">
            <v>1</v>
          </cell>
          <cell r="CH215">
            <v>1</v>
          </cell>
          <cell r="CI215" t="str">
            <v>(2일)</v>
          </cell>
          <cell r="DX215">
            <v>3</v>
          </cell>
          <cell r="DY215">
            <v>3</v>
          </cell>
          <cell r="FD215">
            <v>11</v>
          </cell>
          <cell r="FE215">
            <v>0</v>
          </cell>
          <cell r="FF215">
            <v>2</v>
          </cell>
          <cell r="FG215">
            <v>7</v>
          </cell>
          <cell r="FH215">
            <v>2</v>
          </cell>
          <cell r="FI215">
            <v>9</v>
          </cell>
          <cell r="FJ215">
            <v>15</v>
          </cell>
          <cell r="FK215">
            <v>6</v>
          </cell>
          <cell r="FL215">
            <v>16</v>
          </cell>
          <cell r="FM215">
            <v>-10</v>
          </cell>
          <cell r="FN215" t="str">
            <v>0</v>
          </cell>
          <cell r="FO215" t="str">
            <v>1</v>
          </cell>
          <cell r="FP215">
            <v>1</v>
          </cell>
          <cell r="FQ215">
            <v>16</v>
          </cell>
        </row>
        <row r="216">
          <cell r="F216" t="str">
            <v>김태종</v>
          </cell>
          <cell r="CE216">
            <v>3</v>
          </cell>
          <cell r="CF216">
            <v>3</v>
          </cell>
          <cell r="CG216">
            <v>3</v>
          </cell>
          <cell r="CH216">
            <v>3</v>
          </cell>
          <cell r="CI216">
            <v>3</v>
          </cell>
          <cell r="CJ216">
            <v>3</v>
          </cell>
          <cell r="CK216">
            <v>3</v>
          </cell>
          <cell r="EH216">
            <v>3</v>
          </cell>
          <cell r="EI216">
            <v>1</v>
          </cell>
          <cell r="EJ216" t="str">
            <v>(1일)</v>
          </cell>
          <cell r="FD216">
            <v>8</v>
          </cell>
          <cell r="FE216">
            <v>0</v>
          </cell>
          <cell r="FF216">
            <v>8</v>
          </cell>
          <cell r="FG216">
            <v>1</v>
          </cell>
          <cell r="FH216">
            <v>4</v>
          </cell>
          <cell r="FI216">
            <v>5</v>
          </cell>
          <cell r="FJ216">
            <v>24</v>
          </cell>
          <cell r="FK216">
            <v>19</v>
          </cell>
          <cell r="FL216">
            <v>16</v>
          </cell>
          <cell r="FM216">
            <v>3</v>
          </cell>
          <cell r="FN216" t="str">
            <v>1</v>
          </cell>
          <cell r="FO216" t="str">
            <v>1</v>
          </cell>
          <cell r="FP216">
            <v>2</v>
          </cell>
          <cell r="FQ216" t="str">
            <v>21</v>
          </cell>
        </row>
        <row r="217">
          <cell r="F217" t="str">
            <v>박재범</v>
          </cell>
          <cell r="N217">
            <v>1</v>
          </cell>
          <cell r="O217">
            <v>1</v>
          </cell>
          <cell r="P217">
            <v>1</v>
          </cell>
          <cell r="Q217">
            <v>1</v>
          </cell>
          <cell r="R217">
            <v>1</v>
          </cell>
          <cell r="S217">
            <v>1</v>
          </cell>
          <cell r="T217" t="str">
            <v>(4일)</v>
          </cell>
          <cell r="AY217" t="str">
            <v>(1일)</v>
          </cell>
          <cell r="AZ217">
            <v>1</v>
          </cell>
          <cell r="BA217">
            <v>3</v>
          </cell>
          <cell r="BB217">
            <v>3</v>
          </cell>
          <cell r="BC217">
            <v>3</v>
          </cell>
          <cell r="CW217">
            <v>1</v>
          </cell>
          <cell r="CX217">
            <v>1</v>
          </cell>
          <cell r="CY217">
            <v>1</v>
          </cell>
          <cell r="CZ217" t="str">
            <v>(2일)</v>
          </cell>
          <cell r="DV217">
            <v>3</v>
          </cell>
          <cell r="DW217">
            <v>3</v>
          </cell>
          <cell r="FD217">
            <v>14</v>
          </cell>
          <cell r="FE217">
            <v>0</v>
          </cell>
          <cell r="FF217">
            <v>5</v>
          </cell>
          <cell r="FG217">
            <v>7</v>
          </cell>
          <cell r="FH217">
            <v>3</v>
          </cell>
          <cell r="FI217">
            <v>10</v>
          </cell>
          <cell r="FJ217">
            <v>24</v>
          </cell>
          <cell r="FK217">
            <v>14</v>
          </cell>
          <cell r="FL217">
            <v>16</v>
          </cell>
          <cell r="FM217">
            <v>-2</v>
          </cell>
          <cell r="FN217" t="str">
            <v>0</v>
          </cell>
          <cell r="FO217" t="str">
            <v>1</v>
          </cell>
          <cell r="FP217">
            <v>1</v>
          </cell>
          <cell r="FQ217" t="str">
            <v>21</v>
          </cell>
        </row>
        <row r="218">
          <cell r="F218" t="str">
            <v>장봉익</v>
          </cell>
          <cell r="CN218">
            <v>2</v>
          </cell>
          <cell r="CO218">
            <v>2</v>
          </cell>
          <cell r="DK218">
            <v>3</v>
          </cell>
          <cell r="DL218">
            <v>3</v>
          </cell>
          <cell r="DM218">
            <v>3</v>
          </cell>
          <cell r="DN218">
            <v>3</v>
          </cell>
          <cell r="DO218">
            <v>3</v>
          </cell>
          <cell r="DP218">
            <v>3</v>
          </cell>
          <cell r="DQ218">
            <v>3</v>
          </cell>
          <cell r="DY218">
            <v>3</v>
          </cell>
          <cell r="DZ218">
            <v>3</v>
          </cell>
          <cell r="ES218">
            <v>2</v>
          </cell>
          <cell r="FD218">
            <v>10</v>
          </cell>
          <cell r="FE218">
            <v>3</v>
          </cell>
          <cell r="FF218">
            <v>9</v>
          </cell>
          <cell r="FG218">
            <v>0</v>
          </cell>
          <cell r="FH218">
            <v>9</v>
          </cell>
          <cell r="FI218">
            <v>9</v>
          </cell>
          <cell r="FJ218">
            <v>23</v>
          </cell>
          <cell r="FK218">
            <v>14</v>
          </cell>
          <cell r="FL218">
            <v>16</v>
          </cell>
          <cell r="FM218">
            <v>-2</v>
          </cell>
          <cell r="FN218" t="str">
            <v>0</v>
          </cell>
          <cell r="FO218" t="str">
            <v>0</v>
          </cell>
          <cell r="FP218">
            <v>0</v>
          </cell>
          <cell r="FQ218" t="str">
            <v>21</v>
          </cell>
        </row>
        <row r="219">
          <cell r="F219" t="str">
            <v>김주영</v>
          </cell>
          <cell r="BU219">
            <v>1</v>
          </cell>
          <cell r="BV219">
            <v>1</v>
          </cell>
          <cell r="BW219">
            <v>1</v>
          </cell>
          <cell r="BX219" t="str">
            <v>(3일)</v>
          </cell>
          <cell r="DZ219">
            <v>3</v>
          </cell>
          <cell r="EA219">
            <v>3</v>
          </cell>
          <cell r="FD219">
            <v>11</v>
          </cell>
          <cell r="FE219">
            <v>0</v>
          </cell>
          <cell r="FF219">
            <v>5</v>
          </cell>
          <cell r="FG219">
            <v>3</v>
          </cell>
          <cell r="FH219">
            <v>5</v>
          </cell>
          <cell r="FI219">
            <v>8</v>
          </cell>
          <cell r="FJ219">
            <v>20</v>
          </cell>
          <cell r="FK219">
            <v>12</v>
          </cell>
          <cell r="FL219">
            <v>16</v>
          </cell>
          <cell r="FM219">
            <v>-4</v>
          </cell>
          <cell r="FN219" t="str">
            <v>0</v>
          </cell>
          <cell r="FO219" t="str">
            <v>1</v>
          </cell>
          <cell r="FP219">
            <v>1</v>
          </cell>
          <cell r="FQ219">
            <v>21</v>
          </cell>
        </row>
        <row r="220">
          <cell r="F220" t="str">
            <v>박상철</v>
          </cell>
          <cell r="BJ220">
            <v>1</v>
          </cell>
          <cell r="BK220">
            <v>1</v>
          </cell>
          <cell r="BL220" t="str">
            <v>(2일)</v>
          </cell>
          <cell r="CB220">
            <v>1</v>
          </cell>
          <cell r="CC220">
            <v>1</v>
          </cell>
          <cell r="CD220" t="str">
            <v>(2일)</v>
          </cell>
          <cell r="DO220">
            <v>2</v>
          </cell>
          <cell r="DS220">
            <v>3</v>
          </cell>
          <cell r="DT220">
            <v>3</v>
          </cell>
          <cell r="FD220">
            <v>14</v>
          </cell>
          <cell r="FE220">
            <v>1</v>
          </cell>
          <cell r="FF220">
            <v>2</v>
          </cell>
          <cell r="FG220">
            <v>4</v>
          </cell>
          <cell r="FH220">
            <v>8</v>
          </cell>
          <cell r="FI220">
            <v>12</v>
          </cell>
          <cell r="FJ220">
            <v>23</v>
          </cell>
          <cell r="FK220">
            <v>11</v>
          </cell>
          <cell r="FL220">
            <v>16</v>
          </cell>
          <cell r="FM220">
            <v>-5</v>
          </cell>
          <cell r="FN220" t="str">
            <v>0</v>
          </cell>
          <cell r="FO220" t="str">
            <v>0</v>
          </cell>
          <cell r="FP220">
            <v>0</v>
          </cell>
          <cell r="FQ220" t="str">
            <v>21</v>
          </cell>
        </row>
        <row r="221">
          <cell r="F221" t="str">
            <v>장정수</v>
          </cell>
          <cell r="G221">
            <v>1</v>
          </cell>
          <cell r="H221">
            <v>1</v>
          </cell>
          <cell r="I221">
            <v>1</v>
          </cell>
          <cell r="J221">
            <v>1</v>
          </cell>
          <cell r="K221">
            <v>1</v>
          </cell>
          <cell r="L221" t="str">
            <v>(4일)</v>
          </cell>
          <cell r="CP221">
            <v>1</v>
          </cell>
          <cell r="CQ221">
            <v>1</v>
          </cell>
          <cell r="CR221">
            <v>1</v>
          </cell>
          <cell r="CS221" t="str">
            <v>(2일)</v>
          </cell>
          <cell r="EC221">
            <v>3</v>
          </cell>
          <cell r="ED221">
            <v>3</v>
          </cell>
          <cell r="FD221">
            <v>10</v>
          </cell>
          <cell r="FE221">
            <v>0</v>
          </cell>
          <cell r="FF221">
            <v>9</v>
          </cell>
          <cell r="FG221">
            <v>6</v>
          </cell>
          <cell r="FH221">
            <v>0</v>
          </cell>
          <cell r="FI221">
            <v>6</v>
          </cell>
          <cell r="FJ221">
            <v>24</v>
          </cell>
          <cell r="FK221">
            <v>18</v>
          </cell>
          <cell r="FL221">
            <v>16</v>
          </cell>
          <cell r="FM221">
            <v>2</v>
          </cell>
          <cell r="FN221" t="str">
            <v>1</v>
          </cell>
          <cell r="FO221" t="str">
            <v>1</v>
          </cell>
          <cell r="FP221">
            <v>2</v>
          </cell>
          <cell r="FQ221" t="str">
            <v>21</v>
          </cell>
        </row>
        <row r="222">
          <cell r="F222" t="str">
            <v>양일홍</v>
          </cell>
          <cell r="G222">
            <v>1</v>
          </cell>
          <cell r="H222">
            <v>1</v>
          </cell>
          <cell r="I222">
            <v>1</v>
          </cell>
          <cell r="J222">
            <v>1</v>
          </cell>
          <cell r="K222">
            <v>1</v>
          </cell>
          <cell r="L222">
            <v>1</v>
          </cell>
          <cell r="M222" t="str">
            <v>(5일)</v>
          </cell>
          <cell r="R222">
            <v>3</v>
          </cell>
          <cell r="S222">
            <v>3</v>
          </cell>
          <cell r="T222">
            <v>3</v>
          </cell>
          <cell r="U222">
            <v>3</v>
          </cell>
          <cell r="CT222">
            <v>1</v>
          </cell>
          <cell r="CU222">
            <v>1</v>
          </cell>
          <cell r="CV222">
            <v>1</v>
          </cell>
          <cell r="CW222" t="str">
            <v>(3일)</v>
          </cell>
          <cell r="DV222">
            <v>3</v>
          </cell>
          <cell r="DW222">
            <v>3</v>
          </cell>
          <cell r="FD222">
            <v>9</v>
          </cell>
          <cell r="FE222">
            <v>0</v>
          </cell>
          <cell r="FF222">
            <v>6</v>
          </cell>
          <cell r="FG222">
            <v>8</v>
          </cell>
          <cell r="FH222">
            <v>0</v>
          </cell>
          <cell r="FI222">
            <v>8</v>
          </cell>
          <cell r="FJ222">
            <v>25</v>
          </cell>
          <cell r="FK222">
            <v>17</v>
          </cell>
          <cell r="FL222">
            <v>16</v>
          </cell>
          <cell r="FM222">
            <v>1</v>
          </cell>
          <cell r="FN222" t="str">
            <v>1</v>
          </cell>
          <cell r="FO222" t="str">
            <v>1</v>
          </cell>
          <cell r="FP222">
            <v>2</v>
          </cell>
          <cell r="FQ222" t="str">
            <v>21</v>
          </cell>
        </row>
        <row r="223">
          <cell r="F223" t="str">
            <v>권태국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 t="str">
            <v>(4일)</v>
          </cell>
          <cell r="BU223">
            <v>1</v>
          </cell>
          <cell r="BV223">
            <v>1</v>
          </cell>
          <cell r="BW223">
            <v>1</v>
          </cell>
          <cell r="BX223" t="str">
            <v>(2일)</v>
          </cell>
          <cell r="EC223">
            <v>3</v>
          </cell>
          <cell r="ED223">
            <v>3</v>
          </cell>
          <cell r="FD223">
            <v>12</v>
          </cell>
          <cell r="FE223">
            <v>0</v>
          </cell>
          <cell r="FF223">
            <v>2</v>
          </cell>
          <cell r="FG223">
            <v>6</v>
          </cell>
          <cell r="FH223">
            <v>2</v>
          </cell>
          <cell r="FI223">
            <v>8</v>
          </cell>
          <cell r="FJ223">
            <v>24</v>
          </cell>
          <cell r="FK223">
            <v>16</v>
          </cell>
          <cell r="FL223">
            <v>16</v>
          </cell>
          <cell r="FM223">
            <v>0</v>
          </cell>
          <cell r="FN223" t="str">
            <v>0</v>
          </cell>
          <cell r="FO223" t="str">
            <v>1</v>
          </cell>
          <cell r="FP223">
            <v>1</v>
          </cell>
          <cell r="FQ223" t="str">
            <v>21</v>
          </cell>
        </row>
        <row r="224">
          <cell r="F224" t="str">
            <v>김만수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 t="str">
            <v>(4일)</v>
          </cell>
          <cell r="AU224">
            <v>1</v>
          </cell>
          <cell r="AV224">
            <v>1</v>
          </cell>
          <cell r="AW224" t="str">
            <v>(2일)</v>
          </cell>
          <cell r="BU224">
            <v>1</v>
          </cell>
          <cell r="BV224">
            <v>1</v>
          </cell>
          <cell r="BW224">
            <v>1</v>
          </cell>
          <cell r="BX224" t="str">
            <v>(3일)</v>
          </cell>
          <cell r="CS224">
            <v>2</v>
          </cell>
          <cell r="DE224">
            <v>2</v>
          </cell>
          <cell r="DS224">
            <v>3</v>
          </cell>
          <cell r="DT224">
            <v>3</v>
          </cell>
          <cell r="EA224">
            <v>2</v>
          </cell>
          <cell r="FD224">
            <v>18</v>
          </cell>
          <cell r="FE224">
            <v>29</v>
          </cell>
          <cell r="FF224">
            <v>2</v>
          </cell>
          <cell r="FG224">
            <v>9</v>
          </cell>
          <cell r="FH224">
            <v>7</v>
          </cell>
          <cell r="FI224">
            <v>16</v>
          </cell>
          <cell r="FJ224">
            <v>23</v>
          </cell>
          <cell r="FK224">
            <v>7</v>
          </cell>
          <cell r="FL224">
            <v>16</v>
          </cell>
          <cell r="FM224">
            <v>-9</v>
          </cell>
          <cell r="FN224" t="str">
            <v>0</v>
          </cell>
          <cell r="FO224" t="str">
            <v>0</v>
          </cell>
          <cell r="FP224">
            <v>0</v>
          </cell>
          <cell r="FQ224" t="str">
            <v>21</v>
          </cell>
        </row>
        <row r="225">
          <cell r="F225" t="str">
            <v>임태순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 t="str">
            <v>(4일)</v>
          </cell>
          <cell r="CI225">
            <v>1</v>
          </cell>
          <cell r="CJ225">
            <v>1</v>
          </cell>
          <cell r="CK225">
            <v>1</v>
          </cell>
          <cell r="CL225" t="str">
            <v>(2일)</v>
          </cell>
          <cell r="DX225">
            <v>3</v>
          </cell>
          <cell r="DY225">
            <v>3</v>
          </cell>
          <cell r="EF225">
            <v>1</v>
          </cell>
          <cell r="EG225">
            <v>1</v>
          </cell>
          <cell r="EH225" t="str">
            <v>(2일)</v>
          </cell>
          <cell r="FD225">
            <v>11</v>
          </cell>
          <cell r="FE225">
            <v>0</v>
          </cell>
          <cell r="FF225">
            <v>2</v>
          </cell>
          <cell r="FG225">
            <v>8</v>
          </cell>
          <cell r="FH225">
            <v>0</v>
          </cell>
          <cell r="FI225">
            <v>8</v>
          </cell>
          <cell r="FJ225">
            <v>23</v>
          </cell>
          <cell r="FK225">
            <v>15</v>
          </cell>
          <cell r="FL225">
            <v>16</v>
          </cell>
          <cell r="FM225">
            <v>-1</v>
          </cell>
          <cell r="FN225" t="str">
            <v>0</v>
          </cell>
          <cell r="FO225" t="str">
            <v>1</v>
          </cell>
          <cell r="FP225">
            <v>1</v>
          </cell>
          <cell r="FQ225" t="str">
            <v>21</v>
          </cell>
        </row>
        <row r="226">
          <cell r="F226" t="str">
            <v>신강우</v>
          </cell>
          <cell r="J226">
            <v>2</v>
          </cell>
          <cell r="U226">
            <v>1</v>
          </cell>
          <cell r="V226" t="str">
            <v>(1일)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 t="str">
            <v>(4일)</v>
          </cell>
          <cell r="CB226">
            <v>1</v>
          </cell>
          <cell r="CC226">
            <v>1</v>
          </cell>
          <cell r="CD226">
            <v>1</v>
          </cell>
          <cell r="CE226" t="str">
            <v>(2일)</v>
          </cell>
          <cell r="DI226">
            <v>2</v>
          </cell>
          <cell r="DV226">
            <v>3</v>
          </cell>
          <cell r="DW226">
            <v>3</v>
          </cell>
          <cell r="FD226">
            <v>21</v>
          </cell>
          <cell r="FE226">
            <v>31</v>
          </cell>
          <cell r="FF226">
            <v>2</v>
          </cell>
          <cell r="FG226">
            <v>7</v>
          </cell>
          <cell r="FH226">
            <v>6</v>
          </cell>
          <cell r="FI226">
            <v>13</v>
          </cell>
          <cell r="FJ226">
            <v>23</v>
          </cell>
          <cell r="FK226">
            <v>10</v>
          </cell>
          <cell r="FL226">
            <v>16</v>
          </cell>
          <cell r="FM226">
            <v>-6</v>
          </cell>
          <cell r="FN226" t="str">
            <v>0</v>
          </cell>
          <cell r="FO226" t="str">
            <v>0</v>
          </cell>
          <cell r="FP226">
            <v>0</v>
          </cell>
          <cell r="FQ226" t="str">
            <v>21</v>
          </cell>
        </row>
        <row r="227">
          <cell r="F227" t="str">
            <v>김충균</v>
          </cell>
          <cell r="N227">
            <v>1</v>
          </cell>
          <cell r="O227">
            <v>1</v>
          </cell>
          <cell r="P227">
            <v>1</v>
          </cell>
          <cell r="Q227">
            <v>1</v>
          </cell>
          <cell r="R227">
            <v>1</v>
          </cell>
          <cell r="S227">
            <v>1</v>
          </cell>
          <cell r="T227" t="str">
            <v>(4일)</v>
          </cell>
          <cell r="AJ227">
            <v>2</v>
          </cell>
          <cell r="AK227">
            <v>2</v>
          </cell>
          <cell r="AL227">
            <v>2</v>
          </cell>
          <cell r="CL227">
            <v>3</v>
          </cell>
          <cell r="CM227">
            <v>3</v>
          </cell>
          <cell r="CN227">
            <v>1</v>
          </cell>
          <cell r="CO227">
            <v>1</v>
          </cell>
          <cell r="CP227">
            <v>1</v>
          </cell>
          <cell r="CQ227" t="str">
            <v>(2일)</v>
          </cell>
          <cell r="DQ227">
            <v>3</v>
          </cell>
          <cell r="DR227">
            <v>3</v>
          </cell>
          <cell r="FD227">
            <v>18</v>
          </cell>
          <cell r="FE227">
            <v>4</v>
          </cell>
          <cell r="FF227">
            <v>17</v>
          </cell>
          <cell r="FG227">
            <v>2</v>
          </cell>
          <cell r="FH227">
            <v>6</v>
          </cell>
          <cell r="FI227">
            <v>8</v>
          </cell>
          <cell r="FJ227">
            <v>24</v>
          </cell>
          <cell r="FK227">
            <v>16</v>
          </cell>
          <cell r="FL227">
            <v>16</v>
          </cell>
          <cell r="FM227">
            <v>0</v>
          </cell>
          <cell r="FN227" t="str">
            <v>0</v>
          </cell>
          <cell r="FO227" t="str">
            <v>0</v>
          </cell>
          <cell r="FP227">
            <v>0</v>
          </cell>
          <cell r="FQ227" t="str">
            <v>21</v>
          </cell>
        </row>
        <row r="228">
          <cell r="F228" t="str">
            <v>정준기</v>
          </cell>
          <cell r="AN228">
            <v>1</v>
          </cell>
          <cell r="AO228">
            <v>1</v>
          </cell>
          <cell r="AP228" t="str">
            <v>(2일)</v>
          </cell>
          <cell r="CW228">
            <v>1</v>
          </cell>
          <cell r="CX228">
            <v>1</v>
          </cell>
          <cell r="CY228">
            <v>1</v>
          </cell>
          <cell r="CZ228" t="str">
            <v>(2일)</v>
          </cell>
          <cell r="DX228">
            <v>3</v>
          </cell>
          <cell r="DY228">
            <v>3</v>
          </cell>
          <cell r="FD228">
            <v>5</v>
          </cell>
          <cell r="FE228">
            <v>0</v>
          </cell>
          <cell r="FF228">
            <v>2</v>
          </cell>
          <cell r="FG228">
            <v>2</v>
          </cell>
          <cell r="FH228">
            <v>0</v>
          </cell>
          <cell r="FI228">
            <v>2</v>
          </cell>
          <cell r="FJ228">
            <v>13</v>
          </cell>
          <cell r="FK228">
            <v>11</v>
          </cell>
          <cell r="FL228">
            <v>16</v>
          </cell>
          <cell r="FM228">
            <v>-5</v>
          </cell>
          <cell r="FN228" t="str">
            <v>0</v>
          </cell>
          <cell r="FO228" t="str">
            <v>1</v>
          </cell>
          <cell r="FP228">
            <v>1</v>
          </cell>
          <cell r="FQ228">
            <v>14</v>
          </cell>
        </row>
        <row r="229">
          <cell r="F229" t="str">
            <v>한진</v>
          </cell>
          <cell r="AI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>
            <v>1</v>
          </cell>
          <cell r="AO229" t="str">
            <v>(4일)</v>
          </cell>
          <cell r="BY229">
            <v>1</v>
          </cell>
          <cell r="BZ229">
            <v>1</v>
          </cell>
          <cell r="CA229">
            <v>1</v>
          </cell>
          <cell r="CB229" t="str">
            <v>(2일)</v>
          </cell>
          <cell r="DQ229">
            <v>3</v>
          </cell>
          <cell r="DR229">
            <v>3</v>
          </cell>
          <cell r="FD229">
            <v>11</v>
          </cell>
          <cell r="FE229">
            <v>0</v>
          </cell>
          <cell r="FF229">
            <v>2</v>
          </cell>
          <cell r="FG229">
            <v>6</v>
          </cell>
          <cell r="FH229">
            <v>1</v>
          </cell>
          <cell r="FI229">
            <v>7</v>
          </cell>
          <cell r="FJ229">
            <v>25</v>
          </cell>
          <cell r="FK229">
            <v>18</v>
          </cell>
          <cell r="FL229">
            <v>16</v>
          </cell>
          <cell r="FM229">
            <v>2</v>
          </cell>
          <cell r="FN229" t="str">
            <v>1</v>
          </cell>
          <cell r="FO229" t="str">
            <v>1</v>
          </cell>
          <cell r="FP229">
            <v>2</v>
          </cell>
          <cell r="FQ229" t="str">
            <v>21</v>
          </cell>
        </row>
        <row r="230">
          <cell r="F230" t="str">
            <v>박홍근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 t="str">
            <v>(4일)</v>
          </cell>
          <cell r="BU230">
            <v>1</v>
          </cell>
          <cell r="BV230">
            <v>1</v>
          </cell>
          <cell r="BW230">
            <v>1</v>
          </cell>
          <cell r="BX230" t="str">
            <v>(3일)</v>
          </cell>
          <cell r="DR230">
            <v>3</v>
          </cell>
          <cell r="DS230">
            <v>3</v>
          </cell>
          <cell r="DT230">
            <v>3</v>
          </cell>
          <cell r="EO230">
            <v>1</v>
          </cell>
          <cell r="EP230">
            <v>1</v>
          </cell>
          <cell r="EQ230" t="str">
            <v>(2일)</v>
          </cell>
          <cell r="FD230">
            <v>10</v>
          </cell>
          <cell r="FE230">
            <v>0</v>
          </cell>
          <cell r="FF230">
            <v>3</v>
          </cell>
          <cell r="FG230">
            <v>9</v>
          </cell>
          <cell r="FH230">
            <v>1</v>
          </cell>
          <cell r="FI230">
            <v>10</v>
          </cell>
          <cell r="FJ230">
            <v>24</v>
          </cell>
          <cell r="FK230">
            <v>14</v>
          </cell>
          <cell r="FL230">
            <v>16</v>
          </cell>
          <cell r="FM230">
            <v>-2</v>
          </cell>
          <cell r="FN230" t="str">
            <v>0</v>
          </cell>
          <cell r="FO230" t="str">
            <v>1</v>
          </cell>
          <cell r="FP230">
            <v>1</v>
          </cell>
          <cell r="FQ230" t="str">
            <v>21</v>
          </cell>
        </row>
        <row r="231">
          <cell r="F231" t="str">
            <v>이양주</v>
          </cell>
          <cell r="AI231">
            <v>1</v>
          </cell>
          <cell r="AJ231">
            <v>1</v>
          </cell>
          <cell r="AK231">
            <v>1</v>
          </cell>
          <cell r="AL231">
            <v>1</v>
          </cell>
          <cell r="AM231">
            <v>1</v>
          </cell>
          <cell r="AN231">
            <v>1</v>
          </cell>
          <cell r="AO231" t="str">
            <v>(4일)</v>
          </cell>
          <cell r="CW231">
            <v>1</v>
          </cell>
          <cell r="CX231">
            <v>1</v>
          </cell>
          <cell r="CY231">
            <v>1</v>
          </cell>
          <cell r="CZ231" t="str">
            <v>(2일)</v>
          </cell>
          <cell r="DA231">
            <v>2</v>
          </cell>
          <cell r="DB231">
            <v>2</v>
          </cell>
          <cell r="DC231">
            <v>2</v>
          </cell>
          <cell r="DV231">
            <v>3</v>
          </cell>
          <cell r="DW231">
            <v>3</v>
          </cell>
          <cell r="FD231">
            <v>13</v>
          </cell>
          <cell r="FE231">
            <v>3</v>
          </cell>
          <cell r="FF231">
            <v>2</v>
          </cell>
          <cell r="FG231">
            <v>6</v>
          </cell>
          <cell r="FH231">
            <v>3</v>
          </cell>
          <cell r="FI231">
            <v>9</v>
          </cell>
          <cell r="FJ231">
            <v>24</v>
          </cell>
          <cell r="FK231">
            <v>15</v>
          </cell>
          <cell r="FL231">
            <v>16</v>
          </cell>
          <cell r="FM231">
            <v>-1</v>
          </cell>
          <cell r="FN231" t="str">
            <v>0</v>
          </cell>
          <cell r="FO231" t="str">
            <v>0</v>
          </cell>
          <cell r="FP231">
            <v>0</v>
          </cell>
          <cell r="FQ231" t="str">
            <v>21</v>
          </cell>
        </row>
        <row r="232">
          <cell r="F232" t="str">
            <v>김창수</v>
          </cell>
          <cell r="AZ232">
            <v>2</v>
          </cell>
          <cell r="CE232">
            <v>1</v>
          </cell>
          <cell r="CF232" t="str">
            <v>(1일)</v>
          </cell>
          <cell r="EG232">
            <v>3</v>
          </cell>
          <cell r="EH232">
            <v>3</v>
          </cell>
          <cell r="EU232">
            <v>1</v>
          </cell>
          <cell r="EV232" t="str">
            <v>(1일)</v>
          </cell>
          <cell r="FD232">
            <v>4</v>
          </cell>
          <cell r="FE232">
            <v>1</v>
          </cell>
          <cell r="FF232">
            <v>2</v>
          </cell>
          <cell r="FG232">
            <v>2</v>
          </cell>
          <cell r="FH232">
            <v>1.5</v>
          </cell>
          <cell r="FI232">
            <v>3.5</v>
          </cell>
          <cell r="FJ232">
            <v>24</v>
          </cell>
          <cell r="FK232">
            <v>20.5</v>
          </cell>
          <cell r="FL232">
            <v>16</v>
          </cell>
          <cell r="FM232">
            <v>4.5</v>
          </cell>
          <cell r="FN232" t="str">
            <v>1</v>
          </cell>
          <cell r="FO232" t="str">
            <v>0</v>
          </cell>
          <cell r="FP232">
            <v>1</v>
          </cell>
          <cell r="FQ232" t="str">
            <v>21</v>
          </cell>
        </row>
        <row r="233">
          <cell r="F233" t="str">
            <v>최형진</v>
          </cell>
          <cell r="CB233">
            <v>1</v>
          </cell>
          <cell r="CC233">
            <v>1</v>
          </cell>
          <cell r="CD233">
            <v>1</v>
          </cell>
          <cell r="CE233" t="str">
            <v>(2일)</v>
          </cell>
          <cell r="DS233">
            <v>3</v>
          </cell>
          <cell r="DT233">
            <v>3</v>
          </cell>
          <cell r="FD233">
            <v>11</v>
          </cell>
          <cell r="FE233">
            <v>0</v>
          </cell>
          <cell r="FF233">
            <v>2</v>
          </cell>
          <cell r="FG233">
            <v>2</v>
          </cell>
          <cell r="FH233">
            <v>3.5</v>
          </cell>
          <cell r="FI233">
            <v>5.5</v>
          </cell>
          <cell r="FJ233">
            <v>25</v>
          </cell>
          <cell r="FK233">
            <v>19.5</v>
          </cell>
          <cell r="FL233">
            <v>16</v>
          </cell>
          <cell r="FM233">
            <v>3.5</v>
          </cell>
          <cell r="FN233" t="str">
            <v>1</v>
          </cell>
          <cell r="FO233" t="str">
            <v>1</v>
          </cell>
          <cell r="FP233">
            <v>2</v>
          </cell>
          <cell r="FQ233" t="str">
            <v>21</v>
          </cell>
        </row>
        <row r="234">
          <cell r="F234" t="str">
            <v>오동석</v>
          </cell>
          <cell r="CF234">
            <v>1</v>
          </cell>
          <cell r="CG234">
            <v>1</v>
          </cell>
          <cell r="CH234">
            <v>1</v>
          </cell>
          <cell r="CI234" t="str">
            <v>(3일)</v>
          </cell>
          <cell r="DV234">
            <v>3</v>
          </cell>
          <cell r="DW234">
            <v>3</v>
          </cell>
          <cell r="EG234">
            <v>3</v>
          </cell>
          <cell r="EH234">
            <v>3</v>
          </cell>
          <cell r="EI234">
            <v>3</v>
          </cell>
          <cell r="EL234">
            <v>1</v>
          </cell>
          <cell r="EM234" t="str">
            <v>(1일)</v>
          </cell>
          <cell r="FD234">
            <v>17</v>
          </cell>
          <cell r="FE234">
            <v>0</v>
          </cell>
          <cell r="FF234">
            <v>5</v>
          </cell>
          <cell r="FG234">
            <v>4</v>
          </cell>
          <cell r="FH234">
            <v>6.5</v>
          </cell>
          <cell r="FI234">
            <v>10.5</v>
          </cell>
          <cell r="FJ234">
            <v>24</v>
          </cell>
          <cell r="FK234">
            <v>13.5</v>
          </cell>
          <cell r="FL234">
            <v>16</v>
          </cell>
          <cell r="FM234">
            <v>-2.5</v>
          </cell>
          <cell r="FN234" t="str">
            <v>0</v>
          </cell>
          <cell r="FO234" t="str">
            <v>1</v>
          </cell>
          <cell r="FP234">
            <v>1</v>
          </cell>
          <cell r="FQ234" t="str">
            <v>21</v>
          </cell>
        </row>
        <row r="235">
          <cell r="F235" t="str">
            <v>조병익</v>
          </cell>
          <cell r="BP235">
            <v>3</v>
          </cell>
          <cell r="BQ235">
            <v>3</v>
          </cell>
          <cell r="DZ235">
            <v>3</v>
          </cell>
          <cell r="EA235">
            <v>3</v>
          </cell>
          <cell r="FD235">
            <v>3</v>
          </cell>
          <cell r="FE235">
            <v>0</v>
          </cell>
          <cell r="FF235">
            <v>4</v>
          </cell>
          <cell r="FH235">
            <v>3</v>
          </cell>
          <cell r="FI235">
            <v>3</v>
          </cell>
          <cell r="FJ235">
            <v>24</v>
          </cell>
          <cell r="FK235">
            <v>21</v>
          </cell>
          <cell r="FL235">
            <v>16</v>
          </cell>
          <cell r="FM235">
            <v>5</v>
          </cell>
          <cell r="FN235" t="str">
            <v>1</v>
          </cell>
          <cell r="FO235" t="str">
            <v>1</v>
          </cell>
          <cell r="FP235">
            <v>2</v>
          </cell>
          <cell r="FQ235" t="str">
            <v>21</v>
          </cell>
        </row>
        <row r="236">
          <cell r="F236" t="str">
            <v>김형주</v>
          </cell>
          <cell r="O236">
            <v>1</v>
          </cell>
          <cell r="P236">
            <v>1</v>
          </cell>
          <cell r="Q236">
            <v>1</v>
          </cell>
          <cell r="R236">
            <v>1</v>
          </cell>
          <cell r="S236">
            <v>1</v>
          </cell>
          <cell r="T236">
            <v>1</v>
          </cell>
          <cell r="U236" t="str">
            <v>(4일)</v>
          </cell>
          <cell r="BU236">
            <v>1</v>
          </cell>
          <cell r="BV236">
            <v>1</v>
          </cell>
          <cell r="BW236">
            <v>1</v>
          </cell>
          <cell r="BX236" t="str">
            <v>(2일)</v>
          </cell>
          <cell r="DM236">
            <v>3</v>
          </cell>
          <cell r="EB236">
            <v>1</v>
          </cell>
          <cell r="EC236" t="str">
            <v>(1일)</v>
          </cell>
          <cell r="EG236">
            <v>3</v>
          </cell>
          <cell r="EH236">
            <v>3</v>
          </cell>
          <cell r="FD236">
            <v>10</v>
          </cell>
          <cell r="FE236">
            <v>0</v>
          </cell>
          <cell r="FF236">
            <v>3</v>
          </cell>
          <cell r="FG236">
            <v>7</v>
          </cell>
          <cell r="FH236">
            <v>0</v>
          </cell>
          <cell r="FI236">
            <v>7</v>
          </cell>
          <cell r="FJ236">
            <v>25</v>
          </cell>
          <cell r="FK236">
            <v>18</v>
          </cell>
          <cell r="FL236">
            <v>16</v>
          </cell>
          <cell r="FM236">
            <v>2</v>
          </cell>
          <cell r="FN236" t="str">
            <v>1</v>
          </cell>
          <cell r="FO236" t="str">
            <v>1</v>
          </cell>
          <cell r="FP236">
            <v>2</v>
          </cell>
          <cell r="FQ236" t="str">
            <v>21</v>
          </cell>
        </row>
        <row r="237">
          <cell r="F237" t="str">
            <v>김대도</v>
          </cell>
          <cell r="CF237">
            <v>1</v>
          </cell>
          <cell r="CG237">
            <v>1</v>
          </cell>
          <cell r="CH237">
            <v>1</v>
          </cell>
          <cell r="CI237" t="str">
            <v>(1일)</v>
          </cell>
          <cell r="EC237">
            <v>3</v>
          </cell>
          <cell r="ED237">
            <v>3</v>
          </cell>
          <cell r="FD237">
            <v>16</v>
          </cell>
          <cell r="FE237">
            <v>0</v>
          </cell>
          <cell r="FF237">
            <v>2</v>
          </cell>
          <cell r="FG237">
            <v>1</v>
          </cell>
          <cell r="FH237">
            <v>10</v>
          </cell>
          <cell r="FI237">
            <v>11</v>
          </cell>
          <cell r="FJ237">
            <v>23</v>
          </cell>
          <cell r="FK237">
            <v>12</v>
          </cell>
          <cell r="FL237">
            <v>16</v>
          </cell>
          <cell r="FM237">
            <v>-4</v>
          </cell>
          <cell r="FN237" t="str">
            <v>0</v>
          </cell>
          <cell r="FO237" t="str">
            <v>1</v>
          </cell>
          <cell r="FP237">
            <v>1</v>
          </cell>
          <cell r="FQ237" t="str">
            <v>21</v>
          </cell>
        </row>
        <row r="238">
          <cell r="F238" t="str">
            <v>서형일</v>
          </cell>
          <cell r="CB238">
            <v>1</v>
          </cell>
          <cell r="CC238">
            <v>1</v>
          </cell>
          <cell r="CD238">
            <v>1</v>
          </cell>
          <cell r="CE238" t="str">
            <v>(2일)</v>
          </cell>
          <cell r="CZ238">
            <v>3</v>
          </cell>
          <cell r="DS238">
            <v>3</v>
          </cell>
          <cell r="DT238">
            <v>3</v>
          </cell>
          <cell r="FD238">
            <v>3</v>
          </cell>
          <cell r="FE238">
            <v>0</v>
          </cell>
          <cell r="FF238">
            <v>3</v>
          </cell>
          <cell r="FG238">
            <v>2</v>
          </cell>
          <cell r="FH238">
            <v>0</v>
          </cell>
          <cell r="FI238">
            <v>2</v>
          </cell>
          <cell r="FJ238">
            <v>13</v>
          </cell>
          <cell r="FK238">
            <v>11</v>
          </cell>
          <cell r="FL238">
            <v>16</v>
          </cell>
          <cell r="FM238">
            <v>-5</v>
          </cell>
          <cell r="FN238" t="str">
            <v>0</v>
          </cell>
          <cell r="FO238" t="str">
            <v>1</v>
          </cell>
          <cell r="FP238">
            <v>1</v>
          </cell>
          <cell r="FQ238">
            <v>14</v>
          </cell>
        </row>
        <row r="239">
          <cell r="F239" t="str">
            <v>전민자</v>
          </cell>
          <cell r="CB239">
            <v>1</v>
          </cell>
          <cell r="CC239">
            <v>1</v>
          </cell>
          <cell r="CD239">
            <v>1</v>
          </cell>
          <cell r="CE239" t="str">
            <v>(2일)</v>
          </cell>
          <cell r="DS239">
            <v>3</v>
          </cell>
          <cell r="DT239">
            <v>3</v>
          </cell>
          <cell r="DV239">
            <v>2</v>
          </cell>
          <cell r="EA239">
            <v>2</v>
          </cell>
          <cell r="EB239">
            <v>2</v>
          </cell>
          <cell r="EC239">
            <v>2</v>
          </cell>
          <cell r="ED239">
            <v>2</v>
          </cell>
          <cell r="EE239">
            <v>2</v>
          </cell>
          <cell r="EF239">
            <v>2</v>
          </cell>
          <cell r="EG239">
            <v>2</v>
          </cell>
          <cell r="FD239">
            <v>8</v>
          </cell>
          <cell r="FE239">
            <v>8</v>
          </cell>
          <cell r="FF239">
            <v>2</v>
          </cell>
          <cell r="FG239">
            <v>2</v>
          </cell>
          <cell r="FH239">
            <v>4</v>
          </cell>
          <cell r="FI239">
            <v>6</v>
          </cell>
          <cell r="FJ239">
            <v>24</v>
          </cell>
          <cell r="FK239">
            <v>18</v>
          </cell>
          <cell r="FL239">
            <v>16</v>
          </cell>
          <cell r="FM239">
            <v>2</v>
          </cell>
          <cell r="FN239" t="str">
            <v>1</v>
          </cell>
          <cell r="FO239" t="str">
            <v>0</v>
          </cell>
          <cell r="FP239">
            <v>1</v>
          </cell>
          <cell r="FQ239" t="str">
            <v>21</v>
          </cell>
        </row>
        <row r="240">
          <cell r="F240" t="str">
            <v>이종환</v>
          </cell>
          <cell r="CI240">
            <v>1</v>
          </cell>
          <cell r="CJ240">
            <v>1</v>
          </cell>
          <cell r="CK240">
            <v>1</v>
          </cell>
          <cell r="CL240" t="str">
            <v>(1일)</v>
          </cell>
          <cell r="DQ240">
            <v>3</v>
          </cell>
          <cell r="DR240">
            <v>3</v>
          </cell>
          <cell r="FD240">
            <v>3</v>
          </cell>
          <cell r="FE240">
            <v>0</v>
          </cell>
          <cell r="FF240">
            <v>2</v>
          </cell>
          <cell r="FG240">
            <v>1</v>
          </cell>
          <cell r="FH240">
            <v>0</v>
          </cell>
          <cell r="FI240">
            <v>1</v>
          </cell>
          <cell r="FJ240">
            <v>13</v>
          </cell>
          <cell r="FK240">
            <v>12</v>
          </cell>
          <cell r="FL240">
            <v>16</v>
          </cell>
          <cell r="FM240">
            <v>-4</v>
          </cell>
          <cell r="FN240" t="str">
            <v>0</v>
          </cell>
          <cell r="FO240" t="str">
            <v>1</v>
          </cell>
          <cell r="FP240">
            <v>1</v>
          </cell>
          <cell r="FQ240">
            <v>14</v>
          </cell>
        </row>
        <row r="241">
          <cell r="F241" t="str">
            <v>김종식</v>
          </cell>
          <cell r="CI241">
            <v>2</v>
          </cell>
          <cell r="CW241">
            <v>1</v>
          </cell>
          <cell r="CX241">
            <v>1</v>
          </cell>
          <cell r="CY241">
            <v>1</v>
          </cell>
          <cell r="CZ241" t="str">
            <v>(2일)</v>
          </cell>
          <cell r="DZ241">
            <v>3</v>
          </cell>
          <cell r="EA241">
            <v>3</v>
          </cell>
          <cell r="FD241">
            <v>16</v>
          </cell>
          <cell r="FE241">
            <v>1</v>
          </cell>
          <cell r="FF241">
            <v>2</v>
          </cell>
          <cell r="FG241">
            <v>2</v>
          </cell>
          <cell r="FH241">
            <v>9.5</v>
          </cell>
          <cell r="FI241">
            <v>11.5</v>
          </cell>
          <cell r="FJ241">
            <v>24</v>
          </cell>
          <cell r="FK241">
            <v>12.5</v>
          </cell>
          <cell r="FL241">
            <v>16</v>
          </cell>
          <cell r="FM241">
            <v>-3.5</v>
          </cell>
          <cell r="FN241" t="str">
            <v>0</v>
          </cell>
          <cell r="FO241" t="str">
            <v>0</v>
          </cell>
          <cell r="FP241">
            <v>0</v>
          </cell>
          <cell r="FQ241" t="str">
            <v>21</v>
          </cell>
        </row>
        <row r="242">
          <cell r="F242" t="str">
            <v>이광수</v>
          </cell>
          <cell r="T242">
            <v>1</v>
          </cell>
          <cell r="U242">
            <v>1</v>
          </cell>
          <cell r="V242">
            <v>1</v>
          </cell>
          <cell r="W242">
            <v>1</v>
          </cell>
          <cell r="X242" t="str">
            <v>(2일)</v>
          </cell>
          <cell r="CM242">
            <v>1</v>
          </cell>
          <cell r="CN242">
            <v>1</v>
          </cell>
          <cell r="CO242">
            <v>1</v>
          </cell>
          <cell r="CP242" t="str">
            <v>(3일)</v>
          </cell>
          <cell r="EE242">
            <v>3</v>
          </cell>
          <cell r="EF242">
            <v>3</v>
          </cell>
          <cell r="FD242">
            <v>7</v>
          </cell>
          <cell r="FE242">
            <v>0</v>
          </cell>
          <cell r="FF242">
            <v>2</v>
          </cell>
          <cell r="FG242">
            <v>5</v>
          </cell>
          <cell r="FH242">
            <v>0</v>
          </cell>
          <cell r="FI242">
            <v>5</v>
          </cell>
          <cell r="FJ242">
            <v>23</v>
          </cell>
          <cell r="FK242">
            <v>18</v>
          </cell>
          <cell r="FL242">
            <v>16</v>
          </cell>
          <cell r="FM242">
            <v>2</v>
          </cell>
          <cell r="FN242" t="str">
            <v>1</v>
          </cell>
          <cell r="FO242" t="str">
            <v>1</v>
          </cell>
          <cell r="FP242">
            <v>2</v>
          </cell>
          <cell r="FQ242" t="str">
            <v>21</v>
          </cell>
        </row>
        <row r="243">
          <cell r="F243" t="str">
            <v>최권열</v>
          </cell>
          <cell r="FD243">
            <v>0</v>
          </cell>
          <cell r="FE243">
            <v>0</v>
          </cell>
          <cell r="FF243">
            <v>0</v>
          </cell>
          <cell r="FH243">
            <v>0</v>
          </cell>
          <cell r="FI243">
            <v>0</v>
          </cell>
          <cell r="FJ243">
            <v>13</v>
          </cell>
          <cell r="FK243">
            <v>13</v>
          </cell>
          <cell r="FL243">
            <v>16</v>
          </cell>
          <cell r="FM243">
            <v>-3</v>
          </cell>
          <cell r="FN243" t="str">
            <v>0</v>
          </cell>
          <cell r="FO243" t="str">
            <v>1</v>
          </cell>
          <cell r="FP243">
            <v>1</v>
          </cell>
          <cell r="FQ243">
            <v>14</v>
          </cell>
        </row>
        <row r="244">
          <cell r="F244" t="str">
            <v>강주원</v>
          </cell>
          <cell r="CS244">
            <v>1</v>
          </cell>
          <cell r="CT244">
            <v>1</v>
          </cell>
          <cell r="CU244">
            <v>1</v>
          </cell>
          <cell r="CV244" t="str">
            <v>(3일)</v>
          </cell>
          <cell r="DQ244">
            <v>3</v>
          </cell>
          <cell r="DR244">
            <v>3</v>
          </cell>
          <cell r="EK244">
            <v>2</v>
          </cell>
          <cell r="FD244">
            <v>3</v>
          </cell>
          <cell r="FE244">
            <v>1</v>
          </cell>
          <cell r="FF244">
            <v>2</v>
          </cell>
          <cell r="FG244">
            <v>3</v>
          </cell>
          <cell r="FH244">
            <v>0</v>
          </cell>
          <cell r="FI244">
            <v>3</v>
          </cell>
          <cell r="FJ244">
            <v>25</v>
          </cell>
          <cell r="FK244">
            <v>22</v>
          </cell>
          <cell r="FL244">
            <v>16</v>
          </cell>
          <cell r="FM244">
            <v>6</v>
          </cell>
          <cell r="FN244" t="str">
            <v>1</v>
          </cell>
          <cell r="FO244" t="str">
            <v>0</v>
          </cell>
          <cell r="FP244">
            <v>1</v>
          </cell>
          <cell r="FQ244" t="str">
            <v>21</v>
          </cell>
        </row>
        <row r="245">
          <cell r="F245" t="str">
            <v>김기훈</v>
          </cell>
          <cell r="AI245">
            <v>1</v>
          </cell>
          <cell r="AJ245">
            <v>1</v>
          </cell>
          <cell r="AK245">
            <v>1</v>
          </cell>
          <cell r="AL245">
            <v>1</v>
          </cell>
          <cell r="AM245">
            <v>1</v>
          </cell>
          <cell r="AN245">
            <v>1</v>
          </cell>
          <cell r="AO245" t="str">
            <v>(4일)</v>
          </cell>
          <cell r="CW245">
            <v>1</v>
          </cell>
          <cell r="CX245">
            <v>1</v>
          </cell>
          <cell r="CY245">
            <v>1</v>
          </cell>
          <cell r="CZ245" t="str">
            <v>(2일)</v>
          </cell>
          <cell r="DQ245">
            <v>3</v>
          </cell>
          <cell r="DR245">
            <v>3</v>
          </cell>
          <cell r="ED245">
            <v>2</v>
          </cell>
          <cell r="EG245">
            <v>2</v>
          </cell>
          <cell r="EH245">
            <v>2</v>
          </cell>
          <cell r="EI245">
            <v>2</v>
          </cell>
          <cell r="EJ245">
            <v>2</v>
          </cell>
          <cell r="EK245">
            <v>2</v>
          </cell>
          <cell r="EL245">
            <v>2</v>
          </cell>
          <cell r="EM245">
            <v>2</v>
          </cell>
          <cell r="FD245">
            <v>12</v>
          </cell>
          <cell r="FE245">
            <v>8</v>
          </cell>
          <cell r="FF245">
            <v>3</v>
          </cell>
          <cell r="FG245">
            <v>6</v>
          </cell>
          <cell r="FH245">
            <v>3</v>
          </cell>
          <cell r="FI245">
            <v>9</v>
          </cell>
          <cell r="FJ245">
            <v>20</v>
          </cell>
          <cell r="FK245">
            <v>11</v>
          </cell>
          <cell r="FL245">
            <v>16</v>
          </cell>
          <cell r="FM245">
            <v>-5</v>
          </cell>
          <cell r="FN245" t="str">
            <v>0</v>
          </cell>
          <cell r="FO245" t="str">
            <v>0</v>
          </cell>
          <cell r="FP245">
            <v>0</v>
          </cell>
          <cell r="FQ245">
            <v>20</v>
          </cell>
        </row>
        <row r="246">
          <cell r="F246" t="str">
            <v>안재형</v>
          </cell>
          <cell r="EC246">
            <v>3</v>
          </cell>
          <cell r="ED246">
            <v>3</v>
          </cell>
          <cell r="FD246">
            <v>7</v>
          </cell>
          <cell r="FE246">
            <v>0</v>
          </cell>
          <cell r="FF246">
            <v>2</v>
          </cell>
          <cell r="FH246">
            <v>6</v>
          </cell>
          <cell r="FI246">
            <v>6</v>
          </cell>
          <cell r="FJ246">
            <v>20</v>
          </cell>
          <cell r="FK246">
            <v>14</v>
          </cell>
          <cell r="FL246">
            <v>16</v>
          </cell>
          <cell r="FM246">
            <v>-2</v>
          </cell>
          <cell r="FN246" t="str">
            <v>0</v>
          </cell>
          <cell r="FO246" t="str">
            <v>1</v>
          </cell>
          <cell r="FP246">
            <v>1</v>
          </cell>
          <cell r="FQ246">
            <v>21</v>
          </cell>
        </row>
        <row r="247">
          <cell r="F247" t="str">
            <v>한창호</v>
          </cell>
          <cell r="CU247">
            <v>1</v>
          </cell>
          <cell r="CV247" t="str">
            <v>(1일)</v>
          </cell>
          <cell r="DO247">
            <v>3</v>
          </cell>
          <cell r="DP247">
            <v>3</v>
          </cell>
          <cell r="FD247">
            <v>8</v>
          </cell>
          <cell r="FE247">
            <v>0</v>
          </cell>
          <cell r="FF247">
            <v>2</v>
          </cell>
          <cell r="FG247">
            <v>1</v>
          </cell>
          <cell r="FH247">
            <v>6</v>
          </cell>
          <cell r="FI247">
            <v>7</v>
          </cell>
          <cell r="FJ247">
            <v>24</v>
          </cell>
          <cell r="FK247">
            <v>17</v>
          </cell>
          <cell r="FL247">
            <v>16</v>
          </cell>
          <cell r="FM247">
            <v>1</v>
          </cell>
          <cell r="FN247" t="str">
            <v>1</v>
          </cell>
          <cell r="FO247" t="str">
            <v>1</v>
          </cell>
          <cell r="FP247">
            <v>2</v>
          </cell>
          <cell r="FQ247" t="str">
            <v>21</v>
          </cell>
        </row>
        <row r="248">
          <cell r="F248" t="str">
            <v>최종일</v>
          </cell>
          <cell r="G248">
            <v>1</v>
          </cell>
          <cell r="H248" t="str">
            <v>(1일)</v>
          </cell>
          <cell r="CW248">
            <v>1</v>
          </cell>
          <cell r="CX248">
            <v>1</v>
          </cell>
          <cell r="CY248">
            <v>1</v>
          </cell>
          <cell r="CZ248" t="str">
            <v>(2일)</v>
          </cell>
          <cell r="FD248">
            <v>12</v>
          </cell>
          <cell r="FE248">
            <v>0</v>
          </cell>
          <cell r="FF248">
            <v>0</v>
          </cell>
          <cell r="FG248">
            <v>3</v>
          </cell>
          <cell r="FH248">
            <v>7</v>
          </cell>
          <cell r="FI248">
            <v>10</v>
          </cell>
          <cell r="FJ248">
            <v>25</v>
          </cell>
          <cell r="FK248">
            <v>15</v>
          </cell>
          <cell r="FL248">
            <v>16</v>
          </cell>
          <cell r="FM248">
            <v>-1</v>
          </cell>
          <cell r="FN248" t="str">
            <v>0</v>
          </cell>
          <cell r="FO248" t="str">
            <v>1</v>
          </cell>
          <cell r="FP248">
            <v>1</v>
          </cell>
          <cell r="FQ248" t="str">
            <v>21</v>
          </cell>
        </row>
        <row r="249">
          <cell r="F249" t="str">
            <v>이광세</v>
          </cell>
          <cell r="DS249">
            <v>3</v>
          </cell>
          <cell r="DT249">
            <v>3</v>
          </cell>
          <cell r="ER249">
            <v>1</v>
          </cell>
          <cell r="ES249" t="str">
            <v>(1일)</v>
          </cell>
          <cell r="FD249">
            <v>6</v>
          </cell>
          <cell r="FE249">
            <v>2</v>
          </cell>
          <cell r="FF249">
            <v>2</v>
          </cell>
          <cell r="FG249">
            <v>1</v>
          </cell>
          <cell r="FH249">
            <v>3</v>
          </cell>
          <cell r="FI249">
            <v>4</v>
          </cell>
          <cell r="FJ249">
            <v>23</v>
          </cell>
          <cell r="FK249">
            <v>19</v>
          </cell>
          <cell r="FL249">
            <v>16</v>
          </cell>
          <cell r="FM249">
            <v>3</v>
          </cell>
          <cell r="FN249" t="str">
            <v>1</v>
          </cell>
          <cell r="FO249" t="str">
            <v>0</v>
          </cell>
          <cell r="FP249">
            <v>1</v>
          </cell>
          <cell r="FQ249" t="str">
            <v>21</v>
          </cell>
        </row>
        <row r="250">
          <cell r="F250" t="str">
            <v>반인섭</v>
          </cell>
          <cell r="G250">
            <v>1</v>
          </cell>
          <cell r="H250">
            <v>1</v>
          </cell>
          <cell r="I250">
            <v>1</v>
          </cell>
          <cell r="J250">
            <v>1</v>
          </cell>
          <cell r="K250">
            <v>1</v>
          </cell>
          <cell r="L250" t="str">
            <v>(3일)</v>
          </cell>
          <cell r="DZ250">
            <v>3</v>
          </cell>
          <cell r="EA250">
            <v>3</v>
          </cell>
          <cell r="EN250">
            <v>2</v>
          </cell>
          <cell r="FD250">
            <v>9</v>
          </cell>
          <cell r="FE250">
            <v>1</v>
          </cell>
          <cell r="FF250">
            <v>2</v>
          </cell>
          <cell r="FG250">
            <v>3</v>
          </cell>
          <cell r="FH250">
            <v>3</v>
          </cell>
          <cell r="FI250">
            <v>6</v>
          </cell>
          <cell r="FJ250">
            <v>25</v>
          </cell>
          <cell r="FK250">
            <v>19</v>
          </cell>
          <cell r="FL250">
            <v>16</v>
          </cell>
          <cell r="FM250">
            <v>3</v>
          </cell>
          <cell r="FN250" t="str">
            <v>1</v>
          </cell>
          <cell r="FO250" t="str">
            <v>0</v>
          </cell>
          <cell r="FP250">
            <v>1</v>
          </cell>
          <cell r="FQ250" t="str">
            <v>21</v>
          </cell>
        </row>
        <row r="251">
          <cell r="F251" t="str">
            <v>김대희</v>
          </cell>
          <cell r="EE251">
            <v>3</v>
          </cell>
          <cell r="EF251">
            <v>3</v>
          </cell>
          <cell r="FD251">
            <v>0</v>
          </cell>
          <cell r="FE251">
            <v>0</v>
          </cell>
          <cell r="FF251">
            <v>2</v>
          </cell>
          <cell r="FH251">
            <v>0</v>
          </cell>
          <cell r="FI251">
            <v>0</v>
          </cell>
          <cell r="FJ251">
            <v>13</v>
          </cell>
          <cell r="FK251">
            <v>13</v>
          </cell>
          <cell r="FL251">
            <v>16</v>
          </cell>
          <cell r="FM251">
            <v>-3</v>
          </cell>
          <cell r="FN251" t="str">
            <v>0</v>
          </cell>
          <cell r="FO251" t="str">
            <v>1</v>
          </cell>
          <cell r="FP251">
            <v>1</v>
          </cell>
          <cell r="FQ251">
            <v>14</v>
          </cell>
        </row>
        <row r="252">
          <cell r="F252" t="str">
            <v>김동우</v>
          </cell>
          <cell r="EG252">
            <v>3</v>
          </cell>
          <cell r="EH252">
            <v>3</v>
          </cell>
          <cell r="FD252">
            <v>0</v>
          </cell>
          <cell r="FE252">
            <v>0</v>
          </cell>
          <cell r="FF252">
            <v>2</v>
          </cell>
          <cell r="FH252">
            <v>0</v>
          </cell>
          <cell r="FI252">
            <v>0</v>
          </cell>
          <cell r="FJ252">
            <v>13</v>
          </cell>
          <cell r="FK252">
            <v>13</v>
          </cell>
          <cell r="FL252">
            <v>16</v>
          </cell>
          <cell r="FM252">
            <v>-3</v>
          </cell>
          <cell r="FN252" t="str">
            <v>0</v>
          </cell>
          <cell r="FO252" t="str">
            <v>1</v>
          </cell>
          <cell r="FP252">
            <v>1</v>
          </cell>
          <cell r="FQ252">
            <v>14</v>
          </cell>
        </row>
        <row r="253">
          <cell r="F253" t="str">
            <v>김진영</v>
          </cell>
          <cell r="EC253">
            <v>3</v>
          </cell>
          <cell r="ED253">
            <v>3</v>
          </cell>
          <cell r="FD253">
            <v>0</v>
          </cell>
          <cell r="FE253">
            <v>0</v>
          </cell>
          <cell r="FF253">
            <v>2</v>
          </cell>
          <cell r="FH253">
            <v>0</v>
          </cell>
          <cell r="FI253">
            <v>0</v>
          </cell>
          <cell r="FJ253">
            <v>13</v>
          </cell>
          <cell r="FK253">
            <v>13</v>
          </cell>
          <cell r="FL253">
            <v>16</v>
          </cell>
          <cell r="FM253">
            <v>-3</v>
          </cell>
          <cell r="FN253" t="str">
            <v>0</v>
          </cell>
          <cell r="FO253" t="str">
            <v>1</v>
          </cell>
          <cell r="FP253">
            <v>1</v>
          </cell>
          <cell r="FQ253">
            <v>14</v>
          </cell>
        </row>
        <row r="254">
          <cell r="F254" t="str">
            <v>노영수</v>
          </cell>
          <cell r="EG254">
            <v>3</v>
          </cell>
          <cell r="EH254">
            <v>3</v>
          </cell>
          <cell r="FD254">
            <v>0</v>
          </cell>
          <cell r="FE254">
            <v>0</v>
          </cell>
          <cell r="FF254">
            <v>2</v>
          </cell>
          <cell r="FH254">
            <v>0</v>
          </cell>
          <cell r="FI254">
            <v>0</v>
          </cell>
          <cell r="FJ254">
            <v>13</v>
          </cell>
          <cell r="FK254">
            <v>13</v>
          </cell>
          <cell r="FL254">
            <v>16</v>
          </cell>
          <cell r="FM254">
            <v>-3</v>
          </cell>
          <cell r="FN254" t="str">
            <v>0</v>
          </cell>
          <cell r="FO254" t="str">
            <v>1</v>
          </cell>
          <cell r="FP254">
            <v>1</v>
          </cell>
          <cell r="FQ254">
            <v>14</v>
          </cell>
        </row>
        <row r="255">
          <cell r="F255" t="str">
            <v>박경훈</v>
          </cell>
          <cell r="EC255">
            <v>3</v>
          </cell>
          <cell r="ED255">
            <v>3</v>
          </cell>
          <cell r="FD255">
            <v>0</v>
          </cell>
          <cell r="FE255">
            <v>0</v>
          </cell>
          <cell r="FF255">
            <v>2</v>
          </cell>
          <cell r="FH255">
            <v>0</v>
          </cell>
          <cell r="FI255">
            <v>0</v>
          </cell>
          <cell r="FJ255">
            <v>13</v>
          </cell>
          <cell r="FK255">
            <v>13</v>
          </cell>
          <cell r="FL255">
            <v>16</v>
          </cell>
          <cell r="FM255">
            <v>-3</v>
          </cell>
          <cell r="FN255" t="str">
            <v>0</v>
          </cell>
          <cell r="FO255" t="str">
            <v>1</v>
          </cell>
          <cell r="FP255">
            <v>1</v>
          </cell>
          <cell r="FQ255">
            <v>14</v>
          </cell>
        </row>
        <row r="256">
          <cell r="F256" t="str">
            <v>오석</v>
          </cell>
          <cell r="EE256">
            <v>3</v>
          </cell>
          <cell r="EF256">
            <v>3</v>
          </cell>
          <cell r="FD256">
            <v>0</v>
          </cell>
          <cell r="FE256">
            <v>0</v>
          </cell>
          <cell r="FF256">
            <v>2</v>
          </cell>
          <cell r="FH256">
            <v>0</v>
          </cell>
          <cell r="FI256">
            <v>0</v>
          </cell>
          <cell r="FJ256">
            <v>13</v>
          </cell>
          <cell r="FK256">
            <v>13</v>
          </cell>
          <cell r="FL256">
            <v>16</v>
          </cell>
          <cell r="FM256">
            <v>-3</v>
          </cell>
          <cell r="FN256" t="str">
            <v>0</v>
          </cell>
          <cell r="FO256" t="str">
            <v>1</v>
          </cell>
          <cell r="FP256">
            <v>1</v>
          </cell>
          <cell r="FQ256">
            <v>14</v>
          </cell>
        </row>
        <row r="257">
          <cell r="F257" t="str">
            <v>유병관</v>
          </cell>
          <cell r="DL257">
            <v>2</v>
          </cell>
          <cell r="DM257">
            <v>2</v>
          </cell>
          <cell r="EG257">
            <v>3</v>
          </cell>
          <cell r="EH257">
            <v>3</v>
          </cell>
          <cell r="FD257">
            <v>0</v>
          </cell>
          <cell r="FE257">
            <v>2</v>
          </cell>
          <cell r="FF257">
            <v>2</v>
          </cell>
          <cell r="FH257">
            <v>0</v>
          </cell>
          <cell r="FI257">
            <v>0</v>
          </cell>
          <cell r="FJ257">
            <v>13</v>
          </cell>
          <cell r="FK257">
            <v>13</v>
          </cell>
          <cell r="FL257">
            <v>16</v>
          </cell>
          <cell r="FM257">
            <v>-3</v>
          </cell>
          <cell r="FN257" t="str">
            <v>0</v>
          </cell>
          <cell r="FO257" t="str">
            <v>0</v>
          </cell>
          <cell r="FP257">
            <v>0</v>
          </cell>
          <cell r="FQ257">
            <v>13</v>
          </cell>
        </row>
        <row r="258">
          <cell r="F258" t="str">
            <v>유한영</v>
          </cell>
          <cell r="DV258">
            <v>3</v>
          </cell>
          <cell r="DW258">
            <v>3</v>
          </cell>
          <cell r="FD258">
            <v>0</v>
          </cell>
          <cell r="FE258">
            <v>0</v>
          </cell>
          <cell r="FF258">
            <v>2</v>
          </cell>
          <cell r="FH258">
            <v>0</v>
          </cell>
          <cell r="FI258">
            <v>0</v>
          </cell>
          <cell r="FJ258">
            <v>13</v>
          </cell>
          <cell r="FK258">
            <v>13</v>
          </cell>
          <cell r="FL258">
            <v>16</v>
          </cell>
          <cell r="FM258">
            <v>-3</v>
          </cell>
          <cell r="FN258" t="str">
            <v>0</v>
          </cell>
          <cell r="FO258" t="str">
            <v>1</v>
          </cell>
          <cell r="FP258">
            <v>1</v>
          </cell>
          <cell r="FQ258">
            <v>14</v>
          </cell>
        </row>
        <row r="259">
          <cell r="F259" t="str">
            <v>장홍엽</v>
          </cell>
          <cell r="EG259">
            <v>3</v>
          </cell>
          <cell r="EH259">
            <v>3</v>
          </cell>
          <cell r="FD259">
            <v>0</v>
          </cell>
          <cell r="FE259">
            <v>0</v>
          </cell>
          <cell r="FF259">
            <v>2</v>
          </cell>
          <cell r="FH259">
            <v>0</v>
          </cell>
          <cell r="FI259">
            <v>0</v>
          </cell>
          <cell r="FJ259">
            <v>13</v>
          </cell>
          <cell r="FK259">
            <v>13</v>
          </cell>
          <cell r="FL259">
            <v>16</v>
          </cell>
          <cell r="FM259">
            <v>-3</v>
          </cell>
          <cell r="FN259" t="str">
            <v>0</v>
          </cell>
          <cell r="FO259" t="str">
            <v>1</v>
          </cell>
          <cell r="FP259">
            <v>1</v>
          </cell>
          <cell r="FQ259">
            <v>14</v>
          </cell>
        </row>
        <row r="260">
          <cell r="F260" t="str">
            <v>정운기</v>
          </cell>
          <cell r="DC260">
            <v>2</v>
          </cell>
          <cell r="DD260">
            <v>2</v>
          </cell>
          <cell r="DE260">
            <v>2</v>
          </cell>
          <cell r="DF260">
            <v>2</v>
          </cell>
          <cell r="DG260">
            <v>2</v>
          </cell>
          <cell r="DH260">
            <v>2</v>
          </cell>
          <cell r="DI260">
            <v>2</v>
          </cell>
          <cell r="DJ260">
            <v>2</v>
          </cell>
          <cell r="DK260">
            <v>2</v>
          </cell>
          <cell r="DL260">
            <v>2</v>
          </cell>
          <cell r="DM260">
            <v>2</v>
          </cell>
          <cell r="DN260">
            <v>2</v>
          </cell>
          <cell r="DO260">
            <v>2</v>
          </cell>
          <cell r="DP260">
            <v>2</v>
          </cell>
          <cell r="DQ260">
            <v>2</v>
          </cell>
          <cell r="DR260">
            <v>2</v>
          </cell>
          <cell r="DS260">
            <v>2</v>
          </cell>
          <cell r="DT260">
            <v>2</v>
          </cell>
          <cell r="DU260">
            <v>2</v>
          </cell>
          <cell r="DV260">
            <v>2</v>
          </cell>
          <cell r="DW260">
            <v>2</v>
          </cell>
          <cell r="DX260">
            <v>2</v>
          </cell>
          <cell r="DY260">
            <v>2</v>
          </cell>
          <cell r="DZ260">
            <v>2</v>
          </cell>
          <cell r="EA260">
            <v>2</v>
          </cell>
          <cell r="EB260">
            <v>2</v>
          </cell>
          <cell r="EC260">
            <v>2</v>
          </cell>
          <cell r="ED260">
            <v>2</v>
          </cell>
          <cell r="EE260">
            <v>2</v>
          </cell>
          <cell r="EF260">
            <v>2</v>
          </cell>
          <cell r="EG260">
            <v>2</v>
          </cell>
          <cell r="EH260">
            <v>2</v>
          </cell>
          <cell r="EI260">
            <v>2</v>
          </cell>
          <cell r="EJ260">
            <v>2</v>
          </cell>
          <cell r="EK260">
            <v>2</v>
          </cell>
          <cell r="EL260">
            <v>2</v>
          </cell>
          <cell r="EM260">
            <v>2</v>
          </cell>
          <cell r="EN260">
            <v>2</v>
          </cell>
          <cell r="EO260">
            <v>2</v>
          </cell>
          <cell r="EP260">
            <v>2</v>
          </cell>
          <cell r="EQ260">
            <v>2</v>
          </cell>
          <cell r="ER260">
            <v>2</v>
          </cell>
          <cell r="ES260">
            <v>2</v>
          </cell>
          <cell r="ET260">
            <v>2</v>
          </cell>
          <cell r="EU260">
            <v>2</v>
          </cell>
          <cell r="EV260">
            <v>2</v>
          </cell>
          <cell r="EW260">
            <v>2</v>
          </cell>
          <cell r="EX260">
            <v>2</v>
          </cell>
          <cell r="EY260">
            <v>2</v>
          </cell>
          <cell r="EZ260">
            <v>2</v>
          </cell>
          <cell r="FA260">
            <v>2</v>
          </cell>
          <cell r="FB260">
            <v>2</v>
          </cell>
          <cell r="FD260">
            <v>0</v>
          </cell>
          <cell r="FE260">
            <v>52</v>
          </cell>
          <cell r="FF260">
            <v>0</v>
          </cell>
          <cell r="FH260">
            <v>0</v>
          </cell>
          <cell r="FI260">
            <v>0</v>
          </cell>
          <cell r="FJ260">
            <v>13</v>
          </cell>
          <cell r="FK260">
            <v>13</v>
          </cell>
          <cell r="FL260">
            <v>16</v>
          </cell>
          <cell r="FM260">
            <v>-3</v>
          </cell>
          <cell r="FN260" t="str">
            <v>0</v>
          </cell>
          <cell r="FO260" t="str">
            <v>0</v>
          </cell>
          <cell r="FP260">
            <v>0</v>
          </cell>
          <cell r="FQ260">
            <v>13</v>
          </cell>
        </row>
        <row r="261">
          <cell r="F261" t="str">
            <v>최우영</v>
          </cell>
          <cell r="DV261">
            <v>3</v>
          </cell>
          <cell r="DW261">
            <v>3</v>
          </cell>
          <cell r="FD261">
            <v>0</v>
          </cell>
          <cell r="FE261">
            <v>0</v>
          </cell>
          <cell r="FF261">
            <v>2</v>
          </cell>
          <cell r="FH261">
            <v>0</v>
          </cell>
          <cell r="FI261">
            <v>0</v>
          </cell>
          <cell r="FJ261">
            <v>13</v>
          </cell>
          <cell r="FK261">
            <v>13</v>
          </cell>
          <cell r="FL261">
            <v>16</v>
          </cell>
          <cell r="FM261">
            <v>-3</v>
          </cell>
          <cell r="FN261" t="str">
            <v>0</v>
          </cell>
          <cell r="FO261" t="str">
            <v>1</v>
          </cell>
          <cell r="FP261">
            <v>1</v>
          </cell>
          <cell r="FQ261">
            <v>14</v>
          </cell>
        </row>
        <row r="262">
          <cell r="F262" t="str">
            <v>이인호</v>
          </cell>
          <cell r="FD262">
            <v>0</v>
          </cell>
          <cell r="FE262">
            <v>0</v>
          </cell>
          <cell r="FF262">
            <v>0</v>
          </cell>
          <cell r="FH262">
            <v>0</v>
          </cell>
          <cell r="FI262">
            <v>0</v>
          </cell>
          <cell r="FJ262">
            <v>23</v>
          </cell>
          <cell r="FK262">
            <v>23</v>
          </cell>
          <cell r="FL262">
            <v>16</v>
          </cell>
          <cell r="FM262">
            <v>7</v>
          </cell>
          <cell r="FN262" t="str">
            <v>1</v>
          </cell>
          <cell r="FO262" t="str">
            <v>1</v>
          </cell>
          <cell r="FP262">
            <v>2</v>
          </cell>
          <cell r="FQ262" t="str">
            <v>21</v>
          </cell>
        </row>
        <row r="263">
          <cell r="F263" t="str">
            <v>박성규</v>
          </cell>
          <cell r="CF263">
            <v>1</v>
          </cell>
          <cell r="CG263">
            <v>1</v>
          </cell>
          <cell r="CH263">
            <v>1</v>
          </cell>
          <cell r="CI263" t="str">
            <v>(3일)</v>
          </cell>
          <cell r="DQ263">
            <v>3</v>
          </cell>
          <cell r="DR263">
            <v>3</v>
          </cell>
          <cell r="FD263">
            <v>11</v>
          </cell>
          <cell r="FE263">
            <v>3</v>
          </cell>
          <cell r="FF263">
            <v>2</v>
          </cell>
          <cell r="FG263">
            <v>3</v>
          </cell>
          <cell r="FH263">
            <v>5.5</v>
          </cell>
          <cell r="FI263">
            <v>8.5</v>
          </cell>
          <cell r="FJ263">
            <v>24</v>
          </cell>
          <cell r="FK263">
            <v>15.5</v>
          </cell>
          <cell r="FL263">
            <v>16</v>
          </cell>
          <cell r="FM263">
            <v>-0.5</v>
          </cell>
          <cell r="FN263" t="str">
            <v>0</v>
          </cell>
          <cell r="FO263" t="str">
            <v>0</v>
          </cell>
          <cell r="FP263">
            <v>0</v>
          </cell>
          <cell r="FQ263" t="str">
            <v>21</v>
          </cell>
        </row>
        <row r="264">
          <cell r="F264" t="str">
            <v>오진훈</v>
          </cell>
          <cell r="G264">
            <v>1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 t="str">
            <v>(5일)</v>
          </cell>
          <cell r="CI264">
            <v>1</v>
          </cell>
          <cell r="CJ264">
            <v>1</v>
          </cell>
          <cell r="CK264" t="str">
            <v>(2일)</v>
          </cell>
          <cell r="DZ264">
            <v>3</v>
          </cell>
          <cell r="EA264">
            <v>3</v>
          </cell>
          <cell r="FD264">
            <v>11</v>
          </cell>
          <cell r="FE264">
            <v>0</v>
          </cell>
          <cell r="FF264">
            <v>2</v>
          </cell>
          <cell r="FG264">
            <v>7</v>
          </cell>
          <cell r="FH264">
            <v>2.5</v>
          </cell>
          <cell r="FI264">
            <v>9.5</v>
          </cell>
          <cell r="FJ264">
            <v>25</v>
          </cell>
          <cell r="FK264">
            <v>15.5</v>
          </cell>
          <cell r="FL264">
            <v>16</v>
          </cell>
          <cell r="FM264">
            <v>-0.5</v>
          </cell>
          <cell r="FN264" t="str">
            <v>0</v>
          </cell>
          <cell r="FO264" t="str">
            <v>1</v>
          </cell>
          <cell r="FP264">
            <v>1</v>
          </cell>
          <cell r="FQ264" t="str">
            <v>21</v>
          </cell>
        </row>
        <row r="265">
          <cell r="F265" t="str">
            <v>김재희</v>
          </cell>
          <cell r="N265">
            <v>1</v>
          </cell>
          <cell r="O265">
            <v>1</v>
          </cell>
          <cell r="P265">
            <v>1</v>
          </cell>
          <cell r="Q265">
            <v>1</v>
          </cell>
          <cell r="R265">
            <v>1</v>
          </cell>
          <cell r="S265">
            <v>1</v>
          </cell>
          <cell r="T265" t="str">
            <v>(5일)</v>
          </cell>
          <cell r="Z265">
            <v>1</v>
          </cell>
          <cell r="AA265" t="str">
            <v>(1일)</v>
          </cell>
          <cell r="CF265">
            <v>1</v>
          </cell>
          <cell r="CG265">
            <v>1</v>
          </cell>
          <cell r="CH265">
            <v>1</v>
          </cell>
          <cell r="CI265" t="str">
            <v>(1일)</v>
          </cell>
          <cell r="DZ265">
            <v>3</v>
          </cell>
          <cell r="EA265">
            <v>3</v>
          </cell>
          <cell r="FD265">
            <v>13</v>
          </cell>
          <cell r="FE265">
            <v>2</v>
          </cell>
          <cell r="FF265">
            <v>2</v>
          </cell>
          <cell r="FG265">
            <v>7</v>
          </cell>
          <cell r="FH265">
            <v>2</v>
          </cell>
          <cell r="FI265">
            <v>9</v>
          </cell>
          <cell r="FJ265">
            <v>24</v>
          </cell>
          <cell r="FK265">
            <v>15</v>
          </cell>
          <cell r="FL265">
            <v>16</v>
          </cell>
          <cell r="FM265">
            <v>-1</v>
          </cell>
          <cell r="FN265" t="str">
            <v>0</v>
          </cell>
          <cell r="FO265" t="str">
            <v>0</v>
          </cell>
          <cell r="FP265">
            <v>0</v>
          </cell>
          <cell r="FQ265" t="str">
            <v>21</v>
          </cell>
        </row>
        <row r="266">
          <cell r="F266" t="str">
            <v>김상덕</v>
          </cell>
          <cell r="J266">
            <v>1</v>
          </cell>
          <cell r="K266" t="str">
            <v>(1일)</v>
          </cell>
          <cell r="AH266">
            <v>1</v>
          </cell>
          <cell r="AI266">
            <v>1</v>
          </cell>
          <cell r="AJ266">
            <v>1</v>
          </cell>
          <cell r="AK266">
            <v>1</v>
          </cell>
          <cell r="AL266">
            <v>1</v>
          </cell>
          <cell r="AM266">
            <v>1</v>
          </cell>
          <cell r="AN266" t="str">
            <v>(5일)</v>
          </cell>
          <cell r="CT266">
            <v>1</v>
          </cell>
          <cell r="CU266">
            <v>1</v>
          </cell>
          <cell r="CV266">
            <v>1</v>
          </cell>
          <cell r="CW266" t="str">
            <v>(2일)</v>
          </cell>
          <cell r="DZ266">
            <v>3</v>
          </cell>
          <cell r="EA266">
            <v>3</v>
          </cell>
          <cell r="EO266">
            <v>1</v>
          </cell>
          <cell r="EP266" t="str">
            <v>(1일)</v>
          </cell>
          <cell r="FD266">
            <v>15</v>
          </cell>
          <cell r="FE266">
            <v>0</v>
          </cell>
          <cell r="FF266">
            <v>2</v>
          </cell>
          <cell r="FG266">
            <v>9</v>
          </cell>
          <cell r="FH266">
            <v>3</v>
          </cell>
          <cell r="FI266">
            <v>12</v>
          </cell>
          <cell r="FJ266">
            <v>25</v>
          </cell>
          <cell r="FK266">
            <v>13</v>
          </cell>
          <cell r="FL266">
            <v>16</v>
          </cell>
          <cell r="FM266">
            <v>-3</v>
          </cell>
          <cell r="FN266" t="str">
            <v>0</v>
          </cell>
          <cell r="FO266" t="str">
            <v>1</v>
          </cell>
          <cell r="FP266">
            <v>1</v>
          </cell>
          <cell r="FQ266" t="str">
            <v>21</v>
          </cell>
        </row>
        <row r="267">
          <cell r="F267" t="str">
            <v>설언수</v>
          </cell>
          <cell r="U267">
            <v>1</v>
          </cell>
          <cell r="V267">
            <v>1</v>
          </cell>
          <cell r="W267">
            <v>1</v>
          </cell>
          <cell r="X267">
            <v>1</v>
          </cell>
          <cell r="Y267">
            <v>1</v>
          </cell>
          <cell r="Z267">
            <v>1</v>
          </cell>
          <cell r="AA267" t="str">
            <v>(4일)</v>
          </cell>
          <cell r="BY267">
            <v>1</v>
          </cell>
          <cell r="BZ267">
            <v>1</v>
          </cell>
          <cell r="CA267">
            <v>1</v>
          </cell>
          <cell r="CB267" t="str">
            <v>(2일)</v>
          </cell>
          <cell r="CS267">
            <v>2</v>
          </cell>
          <cell r="DV267">
            <v>3</v>
          </cell>
          <cell r="DW267">
            <v>3</v>
          </cell>
          <cell r="FD267">
            <v>15</v>
          </cell>
          <cell r="FE267">
            <v>1</v>
          </cell>
          <cell r="FF267">
            <v>5</v>
          </cell>
          <cell r="FG267">
            <v>6</v>
          </cell>
          <cell r="FH267">
            <v>5</v>
          </cell>
          <cell r="FI267">
            <v>11</v>
          </cell>
          <cell r="FJ267">
            <v>23</v>
          </cell>
          <cell r="FK267">
            <v>12</v>
          </cell>
          <cell r="FL267">
            <v>16</v>
          </cell>
          <cell r="FM267">
            <v>-4</v>
          </cell>
          <cell r="FN267" t="str">
            <v>0</v>
          </cell>
          <cell r="FO267" t="str">
            <v>0</v>
          </cell>
          <cell r="FP267">
            <v>0</v>
          </cell>
          <cell r="FQ267" t="str">
            <v>21</v>
          </cell>
        </row>
        <row r="268">
          <cell r="F268" t="str">
            <v>이지훈</v>
          </cell>
          <cell r="AI268">
            <v>1</v>
          </cell>
          <cell r="AJ268">
            <v>1</v>
          </cell>
          <cell r="AK268">
            <v>1</v>
          </cell>
          <cell r="AL268">
            <v>1</v>
          </cell>
          <cell r="AM268">
            <v>1</v>
          </cell>
          <cell r="AN268">
            <v>1</v>
          </cell>
          <cell r="AO268" t="str">
            <v>(4일)</v>
          </cell>
          <cell r="CB268">
            <v>1</v>
          </cell>
          <cell r="CC268">
            <v>1</v>
          </cell>
          <cell r="CD268">
            <v>1</v>
          </cell>
          <cell r="CE268" t="str">
            <v>(2일)</v>
          </cell>
          <cell r="EE268">
            <v>3</v>
          </cell>
          <cell r="EF268">
            <v>3</v>
          </cell>
          <cell r="FD268">
            <v>13</v>
          </cell>
          <cell r="FE268">
            <v>0</v>
          </cell>
          <cell r="FF268">
            <v>2</v>
          </cell>
          <cell r="FG268">
            <v>6</v>
          </cell>
          <cell r="FH268">
            <v>3</v>
          </cell>
          <cell r="FI268">
            <v>9</v>
          </cell>
          <cell r="FJ268">
            <v>24</v>
          </cell>
          <cell r="FK268">
            <v>15</v>
          </cell>
          <cell r="FL268">
            <v>16</v>
          </cell>
          <cell r="FM268">
            <v>-1</v>
          </cell>
          <cell r="FN268" t="str">
            <v>0</v>
          </cell>
          <cell r="FO268" t="str">
            <v>1</v>
          </cell>
          <cell r="FP268">
            <v>1</v>
          </cell>
          <cell r="FQ268" t="str">
            <v>21</v>
          </cell>
        </row>
        <row r="269">
          <cell r="F269" t="str">
            <v>이영구</v>
          </cell>
          <cell r="AB269">
            <v>2</v>
          </cell>
          <cell r="AI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N269">
            <v>1</v>
          </cell>
          <cell r="AO269" t="str">
            <v>(5일)</v>
          </cell>
          <cell r="FD269">
            <v>7</v>
          </cell>
          <cell r="FE269">
            <v>1</v>
          </cell>
          <cell r="FF269">
            <v>3</v>
          </cell>
          <cell r="FG269">
            <v>5</v>
          </cell>
          <cell r="FH269">
            <v>0.5</v>
          </cell>
          <cell r="FI269">
            <v>5.5</v>
          </cell>
          <cell r="FJ269">
            <v>24</v>
          </cell>
          <cell r="FK269">
            <v>18.5</v>
          </cell>
          <cell r="FL269">
            <v>16</v>
          </cell>
          <cell r="FM269">
            <v>2.5</v>
          </cell>
          <cell r="FN269" t="str">
            <v>1</v>
          </cell>
          <cell r="FO269" t="str">
            <v>0</v>
          </cell>
          <cell r="FP269">
            <v>1</v>
          </cell>
          <cell r="FQ269" t="str">
            <v>21</v>
          </cell>
        </row>
        <row r="270">
          <cell r="FN270" t="str">
            <v>0</v>
          </cell>
          <cell r="FO270" t="str">
            <v>1</v>
          </cell>
        </row>
        <row r="271">
          <cell r="FN271" t="str">
            <v>0</v>
          </cell>
          <cell r="FO271" t="str">
            <v>1</v>
          </cell>
        </row>
        <row r="272">
          <cell r="FN272" t="str">
            <v>0</v>
          </cell>
          <cell r="FO272" t="str">
            <v>1</v>
          </cell>
        </row>
      </sheetData>
      <sheetData sheetId="3">
        <row r="6">
          <cell r="F6" t="str">
            <v>강준구</v>
          </cell>
        </row>
      </sheetData>
      <sheetData sheetId="4">
        <row r="6">
          <cell r="F6" t="str">
            <v>강준구</v>
          </cell>
        </row>
      </sheetData>
      <sheetData sheetId="5">
        <row r="6">
          <cell r="F6" t="str">
            <v>강준구</v>
          </cell>
          <cell r="CW6">
            <v>1</v>
          </cell>
          <cell r="CX6">
            <v>1</v>
          </cell>
          <cell r="CY6">
            <v>1</v>
          </cell>
          <cell r="CZ6" t="str">
            <v>(2일)</v>
          </cell>
          <cell r="DX6">
            <v>3</v>
          </cell>
          <cell r="DY6">
            <v>3</v>
          </cell>
          <cell r="FD6">
            <v>13</v>
          </cell>
          <cell r="FE6">
            <v>0</v>
          </cell>
          <cell r="FF6">
            <v>2</v>
          </cell>
          <cell r="FG6">
            <v>2</v>
          </cell>
          <cell r="FH6">
            <v>9</v>
          </cell>
          <cell r="FI6">
            <v>11</v>
          </cell>
          <cell r="FJ6">
            <v>24</v>
          </cell>
          <cell r="FK6">
            <v>13</v>
          </cell>
          <cell r="FL6">
            <v>16</v>
          </cell>
          <cell r="FM6">
            <v>-3</v>
          </cell>
          <cell r="FN6" t="str">
            <v>0</v>
          </cell>
          <cell r="FO6" t="str">
            <v>1</v>
          </cell>
          <cell r="FP6">
            <v>1</v>
          </cell>
          <cell r="FQ6" t="str">
            <v>21</v>
          </cell>
        </row>
        <row r="7">
          <cell r="F7" t="str">
            <v>권영진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 t="str">
            <v>(5일)</v>
          </cell>
          <cell r="CM7">
            <v>1</v>
          </cell>
          <cell r="CN7">
            <v>1</v>
          </cell>
          <cell r="CO7">
            <v>1</v>
          </cell>
          <cell r="CP7" t="str">
            <v>(3일)</v>
          </cell>
          <cell r="EF7">
            <v>3</v>
          </cell>
          <cell r="EG7">
            <v>3</v>
          </cell>
          <cell r="FA7">
            <v>1</v>
          </cell>
          <cell r="FB7">
            <v>1</v>
          </cell>
          <cell r="FC7" t="str">
            <v>(2일)</v>
          </cell>
          <cell r="FD7">
            <v>12</v>
          </cell>
          <cell r="FE7">
            <v>0</v>
          </cell>
          <cell r="FF7">
            <v>2</v>
          </cell>
          <cell r="FG7">
            <v>5</v>
          </cell>
          <cell r="FH7">
            <v>0.5</v>
          </cell>
          <cell r="FI7">
            <v>5.5</v>
          </cell>
          <cell r="FJ7">
            <v>24</v>
          </cell>
          <cell r="FK7">
            <v>18.5</v>
          </cell>
          <cell r="FL7">
            <v>16</v>
          </cell>
          <cell r="FM7">
            <v>2.5</v>
          </cell>
          <cell r="FN7" t="str">
            <v>1</v>
          </cell>
          <cell r="FO7" t="str">
            <v>1</v>
          </cell>
          <cell r="FP7">
            <v>2</v>
          </cell>
          <cell r="FQ7" t="str">
            <v>21</v>
          </cell>
        </row>
        <row r="8">
          <cell r="F8" t="str">
            <v>김재선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 t="str">
            <v>(5일)</v>
          </cell>
          <cell r="DV8">
            <v>3</v>
          </cell>
          <cell r="DW8">
            <v>3</v>
          </cell>
          <cell r="FD8">
            <v>9</v>
          </cell>
          <cell r="FE8">
            <v>0</v>
          </cell>
          <cell r="FF8">
            <v>2</v>
          </cell>
          <cell r="FG8">
            <v>4</v>
          </cell>
          <cell r="FH8">
            <v>3</v>
          </cell>
          <cell r="FI8">
            <v>7</v>
          </cell>
          <cell r="FJ8">
            <v>25</v>
          </cell>
          <cell r="FK8">
            <v>18</v>
          </cell>
          <cell r="FL8">
            <v>16</v>
          </cell>
          <cell r="FM8">
            <v>2</v>
          </cell>
          <cell r="FN8" t="str">
            <v>1</v>
          </cell>
          <cell r="FO8" t="str">
            <v>1</v>
          </cell>
          <cell r="FP8">
            <v>2</v>
          </cell>
          <cell r="FQ8" t="str">
            <v>21</v>
          </cell>
        </row>
        <row r="9">
          <cell r="F9" t="str">
            <v>문섭곤</v>
          </cell>
          <cell r="AM9">
            <v>1</v>
          </cell>
          <cell r="AN9">
            <v>1</v>
          </cell>
          <cell r="AO9">
            <v>1</v>
          </cell>
          <cell r="AP9" t="str">
            <v>(1일)</v>
          </cell>
          <cell r="CM9">
            <v>1</v>
          </cell>
          <cell r="CN9">
            <v>1</v>
          </cell>
          <cell r="CO9">
            <v>1</v>
          </cell>
          <cell r="CP9" t="str">
            <v>(3일)</v>
          </cell>
          <cell r="DV9">
            <v>3</v>
          </cell>
          <cell r="DW9">
            <v>3</v>
          </cell>
          <cell r="FD9">
            <v>15</v>
          </cell>
          <cell r="FE9">
            <v>0</v>
          </cell>
          <cell r="FF9">
            <v>2</v>
          </cell>
          <cell r="FG9">
            <v>5</v>
          </cell>
          <cell r="FH9">
            <v>8</v>
          </cell>
          <cell r="FI9">
            <v>13</v>
          </cell>
          <cell r="FJ9">
            <v>25</v>
          </cell>
          <cell r="FK9">
            <v>12</v>
          </cell>
          <cell r="FL9">
            <v>16</v>
          </cell>
          <cell r="FM9">
            <v>-4</v>
          </cell>
          <cell r="FN9" t="str">
            <v>0</v>
          </cell>
          <cell r="FO9" t="str">
            <v>1</v>
          </cell>
          <cell r="FP9">
            <v>1</v>
          </cell>
          <cell r="FQ9" t="str">
            <v>21</v>
          </cell>
        </row>
        <row r="10">
          <cell r="F10" t="str">
            <v>전봉우</v>
          </cell>
          <cell r="BN10">
            <v>1</v>
          </cell>
          <cell r="BO10" t="str">
            <v>(1일)</v>
          </cell>
          <cell r="BR10">
            <v>1</v>
          </cell>
          <cell r="BS10">
            <v>1</v>
          </cell>
          <cell r="BT10">
            <v>1</v>
          </cell>
          <cell r="BU10" t="str">
            <v>(2일)</v>
          </cell>
          <cell r="DZ10">
            <v>1</v>
          </cell>
          <cell r="EA10" t="str">
            <v>(1일)</v>
          </cell>
          <cell r="EC10">
            <v>3</v>
          </cell>
          <cell r="ED10">
            <v>3</v>
          </cell>
          <cell r="FD10">
            <v>9</v>
          </cell>
          <cell r="FE10">
            <v>0</v>
          </cell>
          <cell r="FF10">
            <v>7</v>
          </cell>
          <cell r="FG10">
            <v>4</v>
          </cell>
          <cell r="FH10">
            <v>4</v>
          </cell>
          <cell r="FI10">
            <v>8</v>
          </cell>
          <cell r="FJ10">
            <v>23</v>
          </cell>
          <cell r="FK10">
            <v>15</v>
          </cell>
          <cell r="FL10">
            <v>16</v>
          </cell>
          <cell r="FM10">
            <v>-1</v>
          </cell>
          <cell r="FN10" t="str">
            <v>0</v>
          </cell>
          <cell r="FO10" t="str">
            <v>1</v>
          </cell>
          <cell r="FP10">
            <v>1</v>
          </cell>
          <cell r="FQ10" t="str">
            <v>21</v>
          </cell>
        </row>
        <row r="11">
          <cell r="F11" t="str">
            <v>최남순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 t="str">
            <v>(5일)</v>
          </cell>
          <cell r="CK11" t="str">
            <v>ㄹ</v>
          </cell>
          <cell r="CW11">
            <v>1</v>
          </cell>
          <cell r="CX11">
            <v>1</v>
          </cell>
          <cell r="CY11">
            <v>1</v>
          </cell>
          <cell r="CZ11" t="str">
            <v>(2일)</v>
          </cell>
          <cell r="DV11">
            <v>3</v>
          </cell>
          <cell r="DW11">
            <v>3</v>
          </cell>
          <cell r="FD11">
            <v>12</v>
          </cell>
          <cell r="FE11">
            <v>0</v>
          </cell>
          <cell r="FF11">
            <v>2</v>
          </cell>
          <cell r="FG11">
            <v>7</v>
          </cell>
          <cell r="FH11">
            <v>3</v>
          </cell>
          <cell r="FI11">
            <v>10</v>
          </cell>
          <cell r="FJ11">
            <v>25</v>
          </cell>
          <cell r="FK11">
            <v>15</v>
          </cell>
          <cell r="FL11">
            <v>16</v>
          </cell>
          <cell r="FM11">
            <v>-1</v>
          </cell>
          <cell r="FN11" t="str">
            <v>0</v>
          </cell>
          <cell r="FO11" t="str">
            <v>1</v>
          </cell>
          <cell r="FP11">
            <v>1</v>
          </cell>
          <cell r="FQ11" t="str">
            <v>21</v>
          </cell>
        </row>
        <row r="12">
          <cell r="F12" t="str">
            <v>문장열</v>
          </cell>
          <cell r="R12">
            <v>1</v>
          </cell>
          <cell r="S12">
            <v>1</v>
          </cell>
          <cell r="T12">
            <v>1</v>
          </cell>
          <cell r="U12" t="str">
            <v>(1일)</v>
          </cell>
          <cell r="CP12">
            <v>1</v>
          </cell>
          <cell r="CQ12">
            <v>1</v>
          </cell>
          <cell r="CR12">
            <v>1</v>
          </cell>
          <cell r="CS12" t="str">
            <v>(2일)</v>
          </cell>
          <cell r="FD12">
            <v>8</v>
          </cell>
          <cell r="FE12">
            <v>0</v>
          </cell>
          <cell r="FF12">
            <v>0</v>
          </cell>
          <cell r="FG12">
            <v>3</v>
          </cell>
          <cell r="FH12">
            <v>1</v>
          </cell>
          <cell r="FI12">
            <v>4</v>
          </cell>
          <cell r="FJ12">
            <v>25</v>
          </cell>
          <cell r="FK12">
            <v>21</v>
          </cell>
          <cell r="FL12">
            <v>16</v>
          </cell>
          <cell r="FM12">
            <v>5</v>
          </cell>
          <cell r="FN12" t="str">
            <v>1</v>
          </cell>
          <cell r="FO12" t="str">
            <v>1</v>
          </cell>
          <cell r="FP12">
            <v>2</v>
          </cell>
          <cell r="FQ12" t="str">
            <v>21</v>
          </cell>
        </row>
        <row r="13">
          <cell r="F13" t="str">
            <v>배현영</v>
          </cell>
          <cell r="DX13">
            <v>3</v>
          </cell>
          <cell r="DY13">
            <v>3</v>
          </cell>
          <cell r="DZ13">
            <v>1</v>
          </cell>
          <cell r="EA13" t="str">
            <v>(1일)</v>
          </cell>
          <cell r="FD13">
            <v>10</v>
          </cell>
          <cell r="FE13">
            <v>1</v>
          </cell>
          <cell r="FF13">
            <v>2</v>
          </cell>
          <cell r="FG13">
            <v>1</v>
          </cell>
          <cell r="FH13">
            <v>6</v>
          </cell>
          <cell r="FI13">
            <v>7</v>
          </cell>
          <cell r="FJ13">
            <v>24</v>
          </cell>
          <cell r="FK13">
            <v>17</v>
          </cell>
          <cell r="FL13">
            <v>16</v>
          </cell>
          <cell r="FM13">
            <v>1</v>
          </cell>
          <cell r="FN13" t="str">
            <v>1</v>
          </cell>
          <cell r="FO13" t="str">
            <v>0</v>
          </cell>
          <cell r="FP13">
            <v>1</v>
          </cell>
          <cell r="FQ13" t="str">
            <v>21</v>
          </cell>
        </row>
        <row r="14">
          <cell r="F14" t="str">
            <v>엄태용</v>
          </cell>
          <cell r="AT14">
            <v>1</v>
          </cell>
          <cell r="AU14" t="str">
            <v>(1일)</v>
          </cell>
          <cell r="BP14">
            <v>3</v>
          </cell>
          <cell r="BQ14">
            <v>3</v>
          </cell>
          <cell r="BR14">
            <v>3</v>
          </cell>
          <cell r="CM14">
            <v>1</v>
          </cell>
          <cell r="CN14">
            <v>1</v>
          </cell>
          <cell r="CO14">
            <v>1</v>
          </cell>
          <cell r="CP14" t="str">
            <v>(3일)</v>
          </cell>
          <cell r="DS14">
            <v>3</v>
          </cell>
          <cell r="DT14">
            <v>3</v>
          </cell>
          <cell r="EL14">
            <v>2</v>
          </cell>
          <cell r="EM14">
            <v>2</v>
          </cell>
          <cell r="FD14">
            <v>13</v>
          </cell>
          <cell r="FE14">
            <v>2</v>
          </cell>
          <cell r="FF14">
            <v>5</v>
          </cell>
          <cell r="FG14">
            <v>3</v>
          </cell>
          <cell r="FH14">
            <v>8</v>
          </cell>
          <cell r="FI14">
            <v>11</v>
          </cell>
          <cell r="FJ14">
            <v>24</v>
          </cell>
          <cell r="FK14">
            <v>13</v>
          </cell>
          <cell r="FL14">
            <v>16</v>
          </cell>
          <cell r="FM14">
            <v>-3</v>
          </cell>
          <cell r="FN14" t="str">
            <v>0</v>
          </cell>
          <cell r="FO14" t="str">
            <v>0</v>
          </cell>
          <cell r="FP14">
            <v>0</v>
          </cell>
          <cell r="FQ14" t="str">
            <v>21</v>
          </cell>
        </row>
        <row r="15">
          <cell r="F15" t="str">
            <v>이영주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 t="str">
            <v>(5일)</v>
          </cell>
          <cell r="EC15">
            <v>3</v>
          </cell>
          <cell r="ED15">
            <v>3</v>
          </cell>
          <cell r="FD15">
            <v>11</v>
          </cell>
          <cell r="FE15">
            <v>0</v>
          </cell>
          <cell r="FF15">
            <v>2</v>
          </cell>
          <cell r="FG15">
            <v>5</v>
          </cell>
          <cell r="FH15">
            <v>3.5</v>
          </cell>
          <cell r="FI15">
            <v>8.5</v>
          </cell>
          <cell r="FJ15">
            <v>25</v>
          </cell>
          <cell r="FK15">
            <v>16.5</v>
          </cell>
          <cell r="FL15">
            <v>16</v>
          </cell>
          <cell r="FM15">
            <v>0.5</v>
          </cell>
          <cell r="FN15" t="str">
            <v>0</v>
          </cell>
          <cell r="FO15" t="str">
            <v>1</v>
          </cell>
          <cell r="FP15">
            <v>1</v>
          </cell>
          <cell r="FQ15" t="str">
            <v>21</v>
          </cell>
        </row>
        <row r="16">
          <cell r="F16" t="str">
            <v>최유성</v>
          </cell>
          <cell r="CT16">
            <v>3</v>
          </cell>
          <cell r="CU16">
            <v>1</v>
          </cell>
          <cell r="CV16" t="str">
            <v>(1일)</v>
          </cell>
          <cell r="EE16">
            <v>3</v>
          </cell>
          <cell r="EF16">
            <v>3</v>
          </cell>
          <cell r="FD16">
            <v>4</v>
          </cell>
          <cell r="FE16">
            <v>0</v>
          </cell>
          <cell r="FF16">
            <v>5</v>
          </cell>
          <cell r="FG16">
            <v>6</v>
          </cell>
          <cell r="FH16">
            <v>2.5</v>
          </cell>
          <cell r="FI16">
            <v>8.5</v>
          </cell>
          <cell r="FJ16">
            <v>23</v>
          </cell>
          <cell r="FK16">
            <v>14.5</v>
          </cell>
          <cell r="FL16">
            <v>16</v>
          </cell>
          <cell r="FM16">
            <v>-1.5</v>
          </cell>
          <cell r="FN16" t="str">
            <v>0</v>
          </cell>
          <cell r="FO16" t="str">
            <v>1</v>
          </cell>
          <cell r="FP16">
            <v>1</v>
          </cell>
          <cell r="FQ16" t="str">
            <v>21</v>
          </cell>
        </row>
        <row r="17">
          <cell r="F17" t="str">
            <v>이돈일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3</v>
          </cell>
          <cell r="L17">
            <v>3</v>
          </cell>
          <cell r="M17">
            <v>3</v>
          </cell>
          <cell r="CT17">
            <v>1</v>
          </cell>
          <cell r="CU17">
            <v>1</v>
          </cell>
          <cell r="CV17">
            <v>1</v>
          </cell>
          <cell r="CW17" t="str">
            <v>(3일)</v>
          </cell>
          <cell r="EG17">
            <v>3</v>
          </cell>
          <cell r="EH17">
            <v>3</v>
          </cell>
          <cell r="FD17">
            <v>13</v>
          </cell>
          <cell r="FE17">
            <v>0</v>
          </cell>
          <cell r="FF17">
            <v>9</v>
          </cell>
          <cell r="FG17">
            <v>3</v>
          </cell>
          <cell r="FH17">
            <v>5</v>
          </cell>
          <cell r="FI17">
            <v>8</v>
          </cell>
          <cell r="FJ17">
            <v>24</v>
          </cell>
          <cell r="FK17">
            <v>16</v>
          </cell>
          <cell r="FL17">
            <v>16</v>
          </cell>
          <cell r="FM17">
            <v>0</v>
          </cell>
          <cell r="FN17" t="str">
            <v>0</v>
          </cell>
          <cell r="FO17" t="str">
            <v>1</v>
          </cell>
          <cell r="FP17">
            <v>1</v>
          </cell>
          <cell r="FQ17" t="str">
            <v>21</v>
          </cell>
        </row>
        <row r="18">
          <cell r="F18" t="str">
            <v>김종봉</v>
          </cell>
          <cell r="CT18">
            <v>1</v>
          </cell>
          <cell r="CU18">
            <v>1</v>
          </cell>
          <cell r="CV18">
            <v>1</v>
          </cell>
          <cell r="CW18" t="str">
            <v>(3일)</v>
          </cell>
          <cell r="DQ18">
            <v>3</v>
          </cell>
          <cell r="DR18">
            <v>3</v>
          </cell>
          <cell r="FD18">
            <v>11</v>
          </cell>
          <cell r="FE18">
            <v>0</v>
          </cell>
          <cell r="FF18">
            <v>8</v>
          </cell>
          <cell r="FG18">
            <v>3</v>
          </cell>
          <cell r="FH18">
            <v>8</v>
          </cell>
          <cell r="FI18">
            <v>11</v>
          </cell>
          <cell r="FJ18">
            <v>24</v>
          </cell>
          <cell r="FK18">
            <v>13</v>
          </cell>
          <cell r="FL18">
            <v>16</v>
          </cell>
          <cell r="FM18">
            <v>-3</v>
          </cell>
          <cell r="FN18" t="str">
            <v>0</v>
          </cell>
          <cell r="FO18" t="str">
            <v>1</v>
          </cell>
          <cell r="FP18">
            <v>1</v>
          </cell>
          <cell r="FQ18" t="str">
            <v>21</v>
          </cell>
        </row>
        <row r="19">
          <cell r="F19" t="str">
            <v>성정일</v>
          </cell>
          <cell r="CT19">
            <v>1</v>
          </cell>
          <cell r="CU19">
            <v>1</v>
          </cell>
          <cell r="CV19">
            <v>1</v>
          </cell>
          <cell r="CW19" t="str">
            <v>(3일)</v>
          </cell>
          <cell r="DV19">
            <v>3</v>
          </cell>
          <cell r="DW19">
            <v>3</v>
          </cell>
          <cell r="FD19">
            <v>12</v>
          </cell>
          <cell r="FE19">
            <v>0</v>
          </cell>
          <cell r="FF19">
            <v>2</v>
          </cell>
          <cell r="FG19">
            <v>3</v>
          </cell>
          <cell r="FH19">
            <v>9</v>
          </cell>
          <cell r="FI19">
            <v>12</v>
          </cell>
          <cell r="FJ19">
            <v>23</v>
          </cell>
          <cell r="FK19">
            <v>11</v>
          </cell>
          <cell r="FL19">
            <v>16</v>
          </cell>
          <cell r="FM19">
            <v>-5</v>
          </cell>
          <cell r="FN19" t="str">
            <v>0</v>
          </cell>
          <cell r="FO19" t="str">
            <v>1</v>
          </cell>
          <cell r="FP19">
            <v>1</v>
          </cell>
          <cell r="FQ19" t="str">
            <v>21</v>
          </cell>
        </row>
        <row r="20">
          <cell r="F20" t="str">
            <v>이수미</v>
          </cell>
          <cell r="CB20">
            <v>1</v>
          </cell>
          <cell r="CC20">
            <v>1</v>
          </cell>
          <cell r="CD20">
            <v>1</v>
          </cell>
          <cell r="CE20" t="str">
            <v>(2일)</v>
          </cell>
          <cell r="DQ20">
            <v>3</v>
          </cell>
          <cell r="DR20">
            <v>3</v>
          </cell>
          <cell r="FD20">
            <v>11</v>
          </cell>
          <cell r="FE20">
            <v>1</v>
          </cell>
          <cell r="FF20">
            <v>4</v>
          </cell>
          <cell r="FG20">
            <v>2</v>
          </cell>
          <cell r="FH20">
            <v>8</v>
          </cell>
          <cell r="FI20">
            <v>10</v>
          </cell>
          <cell r="FJ20">
            <v>17</v>
          </cell>
          <cell r="FK20">
            <v>7</v>
          </cell>
          <cell r="FL20">
            <v>16</v>
          </cell>
          <cell r="FM20">
            <v>-9</v>
          </cell>
          <cell r="FN20" t="str">
            <v>0</v>
          </cell>
          <cell r="FO20" t="str">
            <v>0</v>
          </cell>
          <cell r="FP20">
            <v>0</v>
          </cell>
          <cell r="FQ20">
            <v>17</v>
          </cell>
        </row>
        <row r="21">
          <cell r="F21" t="str">
            <v>정후준</v>
          </cell>
          <cell r="BY21">
            <v>1</v>
          </cell>
          <cell r="BZ21">
            <v>1</v>
          </cell>
          <cell r="CA21">
            <v>1</v>
          </cell>
          <cell r="CB21" t="str">
            <v>(3일)</v>
          </cell>
          <cell r="DQ21">
            <v>3</v>
          </cell>
          <cell r="DR21">
            <v>3</v>
          </cell>
          <cell r="FD21">
            <v>11</v>
          </cell>
          <cell r="FE21">
            <v>1</v>
          </cell>
          <cell r="FF21">
            <v>2</v>
          </cell>
          <cell r="FG21">
            <v>3</v>
          </cell>
          <cell r="FH21">
            <v>7</v>
          </cell>
          <cell r="FI21">
            <v>10</v>
          </cell>
          <cell r="FJ21">
            <v>25</v>
          </cell>
          <cell r="FK21">
            <v>15</v>
          </cell>
          <cell r="FL21">
            <v>16</v>
          </cell>
          <cell r="FM21">
            <v>-1</v>
          </cell>
          <cell r="FN21" t="str">
            <v>0</v>
          </cell>
          <cell r="FO21" t="str">
            <v>0</v>
          </cell>
          <cell r="FP21">
            <v>0</v>
          </cell>
          <cell r="FQ21" t="str">
            <v>21</v>
          </cell>
        </row>
        <row r="22">
          <cell r="F22" t="str">
            <v>박미라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  <cell r="AM22">
            <v>1</v>
          </cell>
          <cell r="AN22" t="str">
            <v>(5일)</v>
          </cell>
          <cell r="CF22">
            <v>1</v>
          </cell>
          <cell r="CG22">
            <v>1</v>
          </cell>
          <cell r="CH22">
            <v>1</v>
          </cell>
          <cell r="CI22" t="str">
            <v>(3일)</v>
          </cell>
          <cell r="DM22">
            <v>3</v>
          </cell>
          <cell r="DX22">
            <v>3</v>
          </cell>
          <cell r="DY22">
            <v>3</v>
          </cell>
          <cell r="FD22">
            <v>11</v>
          </cell>
          <cell r="FE22">
            <v>0</v>
          </cell>
          <cell r="FF22">
            <v>4</v>
          </cell>
          <cell r="FG22">
            <v>8</v>
          </cell>
          <cell r="FH22">
            <v>2.5</v>
          </cell>
          <cell r="FI22">
            <v>10.5</v>
          </cell>
          <cell r="FJ22">
            <v>23</v>
          </cell>
          <cell r="FK22">
            <v>12.5</v>
          </cell>
          <cell r="FL22">
            <v>16</v>
          </cell>
          <cell r="FM22">
            <v>-3.5</v>
          </cell>
          <cell r="FN22" t="str">
            <v>0</v>
          </cell>
          <cell r="FO22" t="str">
            <v>1</v>
          </cell>
          <cell r="FP22">
            <v>1</v>
          </cell>
          <cell r="FQ22" t="str">
            <v>21</v>
          </cell>
        </row>
        <row r="23">
          <cell r="F23" t="str">
            <v>원경희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 t="str">
            <v>(5일)</v>
          </cell>
          <cell r="CT23">
            <v>1</v>
          </cell>
          <cell r="CU23">
            <v>1</v>
          </cell>
          <cell r="CV23">
            <v>1</v>
          </cell>
          <cell r="CW23" t="str">
            <v>(3일)</v>
          </cell>
          <cell r="FD23">
            <v>13</v>
          </cell>
          <cell r="FE23">
            <v>0</v>
          </cell>
          <cell r="FF23">
            <v>0</v>
          </cell>
          <cell r="FG23">
            <v>8</v>
          </cell>
          <cell r="FH23">
            <v>4.5</v>
          </cell>
          <cell r="FI23">
            <v>12.5</v>
          </cell>
          <cell r="FJ23">
            <v>25</v>
          </cell>
          <cell r="FK23">
            <v>12.5</v>
          </cell>
          <cell r="FL23">
            <v>16</v>
          </cell>
          <cell r="FM23">
            <v>-3.5</v>
          </cell>
          <cell r="FN23" t="str">
            <v>0</v>
          </cell>
          <cell r="FO23" t="str">
            <v>1</v>
          </cell>
          <cell r="FP23">
            <v>1</v>
          </cell>
          <cell r="FQ23" t="str">
            <v>21</v>
          </cell>
        </row>
        <row r="24">
          <cell r="F24" t="str">
            <v>윤민숙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 t="str">
            <v>(5일)</v>
          </cell>
          <cell r="CM24">
            <v>1</v>
          </cell>
          <cell r="CN24">
            <v>1</v>
          </cell>
          <cell r="CO24">
            <v>1</v>
          </cell>
          <cell r="CP24" t="str">
            <v>(3일)</v>
          </cell>
          <cell r="EC24">
            <v>3</v>
          </cell>
          <cell r="ED24">
            <v>3</v>
          </cell>
          <cell r="FD24">
            <v>12</v>
          </cell>
          <cell r="FE24">
            <v>0</v>
          </cell>
          <cell r="FF24">
            <v>7</v>
          </cell>
          <cell r="FG24">
            <v>8</v>
          </cell>
          <cell r="FH24">
            <v>2.5</v>
          </cell>
          <cell r="FI24">
            <v>10.5</v>
          </cell>
          <cell r="FJ24">
            <v>23</v>
          </cell>
          <cell r="FK24">
            <v>12.5</v>
          </cell>
          <cell r="FL24">
            <v>16</v>
          </cell>
          <cell r="FM24">
            <v>-3.5</v>
          </cell>
          <cell r="FN24" t="str">
            <v>0</v>
          </cell>
          <cell r="FO24" t="str">
            <v>1</v>
          </cell>
          <cell r="FP24">
            <v>1</v>
          </cell>
          <cell r="FQ24" t="str">
            <v>21</v>
          </cell>
        </row>
        <row r="25">
          <cell r="F25" t="str">
            <v>김재현</v>
          </cell>
          <cell r="AT25">
            <v>1</v>
          </cell>
          <cell r="AU25" t="str">
            <v>(1일)</v>
          </cell>
          <cell r="CS25">
            <v>1</v>
          </cell>
          <cell r="CT25">
            <v>1</v>
          </cell>
          <cell r="CU25">
            <v>1</v>
          </cell>
          <cell r="CV25" t="str">
            <v>(2일)</v>
          </cell>
          <cell r="EO25">
            <v>3</v>
          </cell>
          <cell r="EP25">
            <v>3</v>
          </cell>
          <cell r="FD25">
            <v>14</v>
          </cell>
          <cell r="FE25">
            <v>0</v>
          </cell>
          <cell r="FF25">
            <v>2</v>
          </cell>
          <cell r="FG25">
            <v>3</v>
          </cell>
          <cell r="FH25">
            <v>7</v>
          </cell>
          <cell r="FI25">
            <v>10</v>
          </cell>
          <cell r="FJ25">
            <v>25</v>
          </cell>
          <cell r="FK25">
            <v>15</v>
          </cell>
          <cell r="FL25">
            <v>16</v>
          </cell>
          <cell r="FM25">
            <v>-1</v>
          </cell>
          <cell r="FN25" t="str">
            <v>0</v>
          </cell>
          <cell r="FO25" t="str">
            <v>1</v>
          </cell>
          <cell r="FP25">
            <v>1</v>
          </cell>
          <cell r="FQ25" t="str">
            <v>21</v>
          </cell>
        </row>
        <row r="26">
          <cell r="F26" t="str">
            <v>박흥식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 t="str">
            <v>(4일)</v>
          </cell>
          <cell r="CJ26">
            <v>1</v>
          </cell>
          <cell r="CK26">
            <v>1</v>
          </cell>
          <cell r="CL26">
            <v>1</v>
          </cell>
          <cell r="CM26" t="str">
            <v>(2일)</v>
          </cell>
          <cell r="FD26">
            <v>12</v>
          </cell>
          <cell r="FE26">
            <v>0</v>
          </cell>
          <cell r="FF26">
            <v>0</v>
          </cell>
          <cell r="FG26">
            <v>6</v>
          </cell>
          <cell r="FH26">
            <v>2</v>
          </cell>
          <cell r="FI26">
            <v>8</v>
          </cell>
          <cell r="FJ26">
            <v>25</v>
          </cell>
          <cell r="FK26">
            <v>17</v>
          </cell>
          <cell r="FL26">
            <v>16</v>
          </cell>
          <cell r="FM26">
            <v>1</v>
          </cell>
          <cell r="FN26" t="str">
            <v>1</v>
          </cell>
          <cell r="FO26" t="str">
            <v>1</v>
          </cell>
          <cell r="FP26">
            <v>2</v>
          </cell>
          <cell r="FQ26" t="str">
            <v>21</v>
          </cell>
        </row>
        <row r="27">
          <cell r="F27" t="str">
            <v>백찬대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 t="str">
            <v>(5일)</v>
          </cell>
          <cell r="EC27">
            <v>3</v>
          </cell>
          <cell r="ED27">
            <v>3</v>
          </cell>
          <cell r="EE27">
            <v>1</v>
          </cell>
          <cell r="EF27" t="str">
            <v>(1일)</v>
          </cell>
          <cell r="FD27">
            <v>12</v>
          </cell>
          <cell r="FE27">
            <v>1</v>
          </cell>
          <cell r="FF27">
            <v>2</v>
          </cell>
          <cell r="FG27">
            <v>6</v>
          </cell>
          <cell r="FH27">
            <v>5</v>
          </cell>
          <cell r="FI27">
            <v>11</v>
          </cell>
          <cell r="FJ27">
            <v>23</v>
          </cell>
          <cell r="FK27">
            <v>12</v>
          </cell>
          <cell r="FL27">
            <v>16</v>
          </cell>
          <cell r="FM27">
            <v>-4</v>
          </cell>
          <cell r="FN27" t="str">
            <v>0</v>
          </cell>
          <cell r="FO27" t="str">
            <v>0</v>
          </cell>
          <cell r="FP27">
            <v>0</v>
          </cell>
          <cell r="FQ27" t="str">
            <v>21</v>
          </cell>
        </row>
        <row r="28">
          <cell r="F28" t="str">
            <v>김원종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 t="str">
            <v>(5일)</v>
          </cell>
          <cell r="AW28">
            <v>3</v>
          </cell>
          <cell r="AX28">
            <v>3</v>
          </cell>
          <cell r="AY28">
            <v>3</v>
          </cell>
          <cell r="AZ28">
            <v>3</v>
          </cell>
          <cell r="BA28">
            <v>3</v>
          </cell>
          <cell r="BB28">
            <v>3</v>
          </cell>
          <cell r="BC28">
            <v>3</v>
          </cell>
          <cell r="BD28">
            <v>3</v>
          </cell>
          <cell r="BE28">
            <v>3</v>
          </cell>
          <cell r="BF28">
            <v>3</v>
          </cell>
          <cell r="BG28">
            <v>3</v>
          </cell>
          <cell r="BH28">
            <v>3</v>
          </cell>
          <cell r="BI28">
            <v>3</v>
          </cell>
          <cell r="BP28">
            <v>3</v>
          </cell>
          <cell r="BQ28">
            <v>3</v>
          </cell>
          <cell r="BR28">
            <v>3</v>
          </cell>
          <cell r="BS28">
            <v>3</v>
          </cell>
          <cell r="BT28">
            <v>3</v>
          </cell>
          <cell r="BU28">
            <v>3</v>
          </cell>
          <cell r="BV28">
            <v>3</v>
          </cell>
          <cell r="BW28">
            <v>3</v>
          </cell>
          <cell r="BX28">
            <v>3</v>
          </cell>
          <cell r="BY28">
            <v>3</v>
          </cell>
          <cell r="BZ28">
            <v>3</v>
          </cell>
          <cell r="CA28">
            <v>3</v>
          </cell>
          <cell r="CB28">
            <v>3</v>
          </cell>
          <cell r="CC28">
            <v>3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3</v>
          </cell>
          <cell r="CJ28">
            <v>3</v>
          </cell>
          <cell r="CK28">
            <v>3</v>
          </cell>
          <cell r="CL28">
            <v>3</v>
          </cell>
          <cell r="CM28">
            <v>3</v>
          </cell>
          <cell r="CN28">
            <v>3</v>
          </cell>
          <cell r="CO28">
            <v>3</v>
          </cell>
          <cell r="CP28">
            <v>3</v>
          </cell>
          <cell r="CQ28">
            <v>3</v>
          </cell>
          <cell r="CR28">
            <v>3</v>
          </cell>
          <cell r="CS28">
            <v>3</v>
          </cell>
          <cell r="CT28">
            <v>3</v>
          </cell>
          <cell r="CU28">
            <v>3</v>
          </cell>
          <cell r="CV28">
            <v>3</v>
          </cell>
          <cell r="CW28">
            <v>3</v>
          </cell>
          <cell r="CX28">
            <v>3</v>
          </cell>
          <cell r="CY28">
            <v>3</v>
          </cell>
          <cell r="CZ28">
            <v>3</v>
          </cell>
          <cell r="DA28">
            <v>3</v>
          </cell>
          <cell r="DB28">
            <v>3</v>
          </cell>
          <cell r="DC28">
            <v>3</v>
          </cell>
          <cell r="DD28">
            <v>3</v>
          </cell>
          <cell r="DE28">
            <v>3</v>
          </cell>
          <cell r="DF28">
            <v>3</v>
          </cell>
          <cell r="DG28">
            <v>3</v>
          </cell>
          <cell r="DH28">
            <v>3</v>
          </cell>
          <cell r="DI28">
            <v>3</v>
          </cell>
          <cell r="DJ28">
            <v>3</v>
          </cell>
          <cell r="DK28">
            <v>3</v>
          </cell>
          <cell r="DL28">
            <v>3</v>
          </cell>
          <cell r="DM28">
            <v>3</v>
          </cell>
          <cell r="DN28">
            <v>3</v>
          </cell>
          <cell r="DO28">
            <v>3</v>
          </cell>
          <cell r="DP28">
            <v>3</v>
          </cell>
          <cell r="DQ28">
            <v>3</v>
          </cell>
          <cell r="DR28">
            <v>3</v>
          </cell>
          <cell r="DS28">
            <v>3</v>
          </cell>
          <cell r="DT28">
            <v>3</v>
          </cell>
          <cell r="DU28">
            <v>3</v>
          </cell>
          <cell r="DV28">
            <v>3</v>
          </cell>
          <cell r="DW28">
            <v>3</v>
          </cell>
          <cell r="DX28">
            <v>3</v>
          </cell>
          <cell r="DY28">
            <v>3</v>
          </cell>
          <cell r="DZ28">
            <v>3</v>
          </cell>
          <cell r="EA28">
            <v>3</v>
          </cell>
          <cell r="EB28">
            <v>3</v>
          </cell>
          <cell r="EC28">
            <v>3</v>
          </cell>
          <cell r="ED28">
            <v>3</v>
          </cell>
          <cell r="EE28">
            <v>3</v>
          </cell>
          <cell r="EF28">
            <v>3</v>
          </cell>
          <cell r="EG28">
            <v>3</v>
          </cell>
          <cell r="EH28">
            <v>3</v>
          </cell>
          <cell r="EI28">
            <v>3</v>
          </cell>
          <cell r="EJ28">
            <v>3</v>
          </cell>
          <cell r="EK28">
            <v>3</v>
          </cell>
          <cell r="EL28">
            <v>3</v>
          </cell>
          <cell r="EM28">
            <v>3</v>
          </cell>
          <cell r="EN28">
            <v>3</v>
          </cell>
          <cell r="EO28">
            <v>3</v>
          </cell>
          <cell r="EP28">
            <v>3</v>
          </cell>
          <cell r="EQ28">
            <v>3</v>
          </cell>
          <cell r="ER28">
            <v>3</v>
          </cell>
          <cell r="ES28">
            <v>3</v>
          </cell>
          <cell r="ET28">
            <v>3</v>
          </cell>
          <cell r="EU28">
            <v>3</v>
          </cell>
          <cell r="EV28">
            <v>3</v>
          </cell>
          <cell r="EW28">
            <v>3</v>
          </cell>
          <cell r="EX28">
            <v>3</v>
          </cell>
          <cell r="EY28">
            <v>3</v>
          </cell>
          <cell r="EZ28">
            <v>3</v>
          </cell>
          <cell r="FA28">
            <v>3</v>
          </cell>
          <cell r="FB28">
            <v>3</v>
          </cell>
          <cell r="FC28">
            <v>3</v>
          </cell>
          <cell r="FD28">
            <v>10</v>
          </cell>
          <cell r="FE28">
            <v>0</v>
          </cell>
          <cell r="FF28">
            <v>110</v>
          </cell>
          <cell r="FG28">
            <v>5</v>
          </cell>
          <cell r="FH28">
            <v>4</v>
          </cell>
          <cell r="FI28">
            <v>9</v>
          </cell>
          <cell r="FJ28">
            <v>24</v>
          </cell>
          <cell r="FK28">
            <v>15</v>
          </cell>
          <cell r="FL28">
            <v>16</v>
          </cell>
          <cell r="FM28">
            <v>-1</v>
          </cell>
          <cell r="FN28" t="str">
            <v>0</v>
          </cell>
          <cell r="FO28" t="str">
            <v>1</v>
          </cell>
          <cell r="FP28">
            <v>1</v>
          </cell>
          <cell r="FQ28" t="str">
            <v>21</v>
          </cell>
        </row>
        <row r="29">
          <cell r="F29" t="str">
            <v>신기섭</v>
          </cell>
          <cell r="DV29">
            <v>3</v>
          </cell>
          <cell r="DW29">
            <v>3</v>
          </cell>
          <cell r="DX29">
            <v>1</v>
          </cell>
          <cell r="DY29" t="str">
            <v>(1일)</v>
          </cell>
          <cell r="FD29">
            <v>15</v>
          </cell>
          <cell r="FE29">
            <v>0</v>
          </cell>
          <cell r="FF29">
            <v>14</v>
          </cell>
          <cell r="FG29">
            <v>1</v>
          </cell>
          <cell r="FH29">
            <v>13</v>
          </cell>
          <cell r="FI29">
            <v>14</v>
          </cell>
          <cell r="FJ29">
            <v>25</v>
          </cell>
          <cell r="FK29">
            <v>11</v>
          </cell>
          <cell r="FL29">
            <v>16</v>
          </cell>
          <cell r="FM29">
            <v>-5</v>
          </cell>
          <cell r="FN29" t="str">
            <v>0</v>
          </cell>
          <cell r="FO29" t="str">
            <v>1</v>
          </cell>
          <cell r="FP29">
            <v>1</v>
          </cell>
          <cell r="FQ29" t="str">
            <v>21</v>
          </cell>
        </row>
        <row r="30">
          <cell r="F30" t="str">
            <v>윤여필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 t="str">
            <v>(4일)</v>
          </cell>
          <cell r="DR30">
            <v>1</v>
          </cell>
          <cell r="DS30">
            <v>2</v>
          </cell>
          <cell r="DT30">
            <v>2</v>
          </cell>
          <cell r="FD30">
            <v>9</v>
          </cell>
          <cell r="FE30">
            <v>5</v>
          </cell>
          <cell r="FF30">
            <v>2</v>
          </cell>
          <cell r="FG30">
            <v>5</v>
          </cell>
          <cell r="FH30">
            <v>3</v>
          </cell>
          <cell r="FI30">
            <v>8</v>
          </cell>
          <cell r="FJ30">
            <v>24</v>
          </cell>
          <cell r="FK30">
            <v>16</v>
          </cell>
          <cell r="FL30">
            <v>16</v>
          </cell>
          <cell r="FM30">
            <v>0</v>
          </cell>
          <cell r="FN30" t="str">
            <v>0</v>
          </cell>
          <cell r="FO30" t="str">
            <v>0</v>
          </cell>
          <cell r="FP30">
            <v>0</v>
          </cell>
          <cell r="FQ30" t="str">
            <v>21</v>
          </cell>
        </row>
        <row r="31">
          <cell r="F31" t="str">
            <v>김병구</v>
          </cell>
          <cell r="CK31">
            <v>1</v>
          </cell>
          <cell r="CL31">
            <v>1</v>
          </cell>
          <cell r="FD31">
            <v>10</v>
          </cell>
          <cell r="FE31">
            <v>0</v>
          </cell>
          <cell r="FF31">
            <v>0</v>
          </cell>
          <cell r="FH31">
            <v>5</v>
          </cell>
          <cell r="FI31">
            <v>5</v>
          </cell>
          <cell r="FJ31">
            <v>25</v>
          </cell>
          <cell r="FK31">
            <v>20</v>
          </cell>
          <cell r="FL31">
            <v>16</v>
          </cell>
          <cell r="FM31">
            <v>4</v>
          </cell>
          <cell r="FN31" t="str">
            <v>1</v>
          </cell>
          <cell r="FO31" t="str">
            <v>1</v>
          </cell>
          <cell r="FP31">
            <v>2</v>
          </cell>
          <cell r="FQ31" t="str">
            <v>21</v>
          </cell>
        </row>
        <row r="32">
          <cell r="F32" t="str">
            <v>황성모</v>
          </cell>
          <cell r="AI32">
            <v>1</v>
          </cell>
          <cell r="AJ32">
            <v>1</v>
          </cell>
          <cell r="AK32">
            <v>1</v>
          </cell>
          <cell r="AL32" t="str">
            <v>(3일)</v>
          </cell>
          <cell r="FD32">
            <v>9</v>
          </cell>
          <cell r="FE32">
            <v>0</v>
          </cell>
          <cell r="FF32">
            <v>0</v>
          </cell>
          <cell r="FG32">
            <v>3</v>
          </cell>
          <cell r="FH32">
            <v>5</v>
          </cell>
          <cell r="FI32">
            <v>8</v>
          </cell>
          <cell r="FJ32">
            <v>25</v>
          </cell>
          <cell r="FK32">
            <v>17</v>
          </cell>
          <cell r="FL32">
            <v>16</v>
          </cell>
          <cell r="FM32">
            <v>1</v>
          </cell>
          <cell r="FN32" t="str">
            <v>1</v>
          </cell>
          <cell r="FO32" t="str">
            <v>1</v>
          </cell>
          <cell r="FP32">
            <v>2</v>
          </cell>
          <cell r="FQ32" t="str">
            <v>21</v>
          </cell>
        </row>
        <row r="33">
          <cell r="F33" t="str">
            <v>임병숙</v>
          </cell>
          <cell r="BY33">
            <v>1</v>
          </cell>
          <cell r="BZ33">
            <v>1</v>
          </cell>
          <cell r="CA33">
            <v>1</v>
          </cell>
          <cell r="CB33" t="str">
            <v>(3일)</v>
          </cell>
          <cell r="DQ33">
            <v>3</v>
          </cell>
          <cell r="DR33">
            <v>3</v>
          </cell>
          <cell r="FD33">
            <v>6</v>
          </cell>
          <cell r="FE33">
            <v>0</v>
          </cell>
          <cell r="FF33">
            <v>2</v>
          </cell>
          <cell r="FG33">
            <v>3.5</v>
          </cell>
          <cell r="FH33">
            <v>3</v>
          </cell>
          <cell r="FI33">
            <v>6.5</v>
          </cell>
          <cell r="FJ33">
            <v>24</v>
          </cell>
          <cell r="FK33">
            <v>17.5</v>
          </cell>
          <cell r="FL33">
            <v>16</v>
          </cell>
          <cell r="FM33">
            <v>1.5</v>
          </cell>
          <cell r="FN33" t="str">
            <v>1</v>
          </cell>
          <cell r="FO33" t="str">
            <v>1</v>
          </cell>
          <cell r="FP33">
            <v>2</v>
          </cell>
          <cell r="FQ33" t="str">
            <v>21</v>
          </cell>
        </row>
        <row r="34">
          <cell r="F34" t="str">
            <v>손동식</v>
          </cell>
          <cell r="AG34">
            <v>1</v>
          </cell>
          <cell r="AH34" t="str">
            <v>(1일)</v>
          </cell>
          <cell r="CW34">
            <v>1</v>
          </cell>
          <cell r="CX34">
            <v>1</v>
          </cell>
          <cell r="CY34">
            <v>1</v>
          </cell>
          <cell r="CZ34" t="str">
            <v>(3일)</v>
          </cell>
          <cell r="DS34">
            <v>3</v>
          </cell>
          <cell r="DT34">
            <v>3</v>
          </cell>
          <cell r="EI34">
            <v>1</v>
          </cell>
          <cell r="EJ34" t="str">
            <v>(1일)</v>
          </cell>
          <cell r="FD34">
            <v>8</v>
          </cell>
          <cell r="FE34">
            <v>0</v>
          </cell>
          <cell r="FF34">
            <v>3</v>
          </cell>
          <cell r="FG34">
            <v>5</v>
          </cell>
          <cell r="FH34">
            <v>3</v>
          </cell>
          <cell r="FI34">
            <v>8</v>
          </cell>
          <cell r="FJ34">
            <v>25</v>
          </cell>
          <cell r="FK34">
            <v>17</v>
          </cell>
          <cell r="FL34">
            <v>16</v>
          </cell>
          <cell r="FM34">
            <v>1</v>
          </cell>
          <cell r="FN34" t="str">
            <v>1</v>
          </cell>
          <cell r="FO34" t="str">
            <v>1</v>
          </cell>
          <cell r="FP34">
            <v>2</v>
          </cell>
          <cell r="FQ34" t="str">
            <v>21</v>
          </cell>
        </row>
        <row r="35">
          <cell r="F35" t="str">
            <v>송명숙</v>
          </cell>
          <cell r="K35">
            <v>3</v>
          </cell>
          <cell r="AS35">
            <v>3</v>
          </cell>
          <cell r="BO35">
            <v>1</v>
          </cell>
          <cell r="BP35" t="str">
            <v>(1일)</v>
          </cell>
          <cell r="BY35">
            <v>1</v>
          </cell>
          <cell r="BZ35">
            <v>1</v>
          </cell>
          <cell r="CA35">
            <v>1</v>
          </cell>
          <cell r="CB35" t="str">
            <v>(3일)</v>
          </cell>
          <cell r="CP35">
            <v>1</v>
          </cell>
          <cell r="CQ35" t="str">
            <v>(1일)</v>
          </cell>
          <cell r="DO35">
            <v>3</v>
          </cell>
          <cell r="DP35">
            <v>3</v>
          </cell>
          <cell r="FD35">
            <v>5</v>
          </cell>
          <cell r="FE35">
            <v>1</v>
          </cell>
          <cell r="FF35">
            <v>7</v>
          </cell>
          <cell r="FG35">
            <v>5</v>
          </cell>
          <cell r="FH35">
            <v>0</v>
          </cell>
          <cell r="FI35">
            <v>5</v>
          </cell>
          <cell r="FJ35">
            <v>24</v>
          </cell>
          <cell r="FK35">
            <v>19</v>
          </cell>
          <cell r="FL35">
            <v>16</v>
          </cell>
          <cell r="FM35">
            <v>3</v>
          </cell>
          <cell r="FN35" t="str">
            <v>1</v>
          </cell>
          <cell r="FO35" t="str">
            <v>0</v>
          </cell>
          <cell r="FP35">
            <v>1</v>
          </cell>
          <cell r="FQ35" t="str">
            <v>21</v>
          </cell>
        </row>
        <row r="36">
          <cell r="F36" t="str">
            <v>오성근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 t="str">
            <v>(5일)</v>
          </cell>
          <cell r="AT36">
            <v>1</v>
          </cell>
          <cell r="AU36" t="str">
            <v>(1일)</v>
          </cell>
          <cell r="AW36">
            <v>1</v>
          </cell>
          <cell r="AX36" t="str">
            <v>(1일)</v>
          </cell>
          <cell r="CT36">
            <v>1</v>
          </cell>
          <cell r="CU36">
            <v>1</v>
          </cell>
          <cell r="CV36">
            <v>1</v>
          </cell>
          <cell r="CW36" t="str">
            <v>(3일)</v>
          </cell>
          <cell r="DV36">
            <v>3</v>
          </cell>
          <cell r="DW36">
            <v>3</v>
          </cell>
          <cell r="FD36">
            <v>17</v>
          </cell>
          <cell r="FE36">
            <v>0</v>
          </cell>
          <cell r="FF36">
            <v>5</v>
          </cell>
          <cell r="FG36">
            <v>10</v>
          </cell>
          <cell r="FH36">
            <v>5</v>
          </cell>
          <cell r="FI36">
            <v>15</v>
          </cell>
          <cell r="FJ36">
            <v>23</v>
          </cell>
          <cell r="FK36">
            <v>8</v>
          </cell>
          <cell r="FL36">
            <v>16</v>
          </cell>
          <cell r="FM36">
            <v>-8</v>
          </cell>
          <cell r="FN36" t="str">
            <v>0</v>
          </cell>
          <cell r="FO36" t="str">
            <v>1</v>
          </cell>
          <cell r="FP36">
            <v>1</v>
          </cell>
          <cell r="FQ36" t="str">
            <v>21</v>
          </cell>
        </row>
        <row r="37">
          <cell r="F37" t="str">
            <v>이규희</v>
          </cell>
          <cell r="DO37">
            <v>1</v>
          </cell>
          <cell r="DP37">
            <v>1</v>
          </cell>
          <cell r="DQ37">
            <v>1</v>
          </cell>
          <cell r="DR37" t="str">
            <v>(3일)</v>
          </cell>
          <cell r="EC37">
            <v>3</v>
          </cell>
          <cell r="ED37">
            <v>3</v>
          </cell>
          <cell r="FD37">
            <v>12</v>
          </cell>
          <cell r="FE37">
            <v>0</v>
          </cell>
          <cell r="FF37">
            <v>2</v>
          </cell>
          <cell r="FG37">
            <v>3</v>
          </cell>
          <cell r="FH37">
            <v>9</v>
          </cell>
          <cell r="FI37">
            <v>12</v>
          </cell>
          <cell r="FJ37">
            <v>25</v>
          </cell>
          <cell r="FK37">
            <v>13</v>
          </cell>
          <cell r="FL37">
            <v>16</v>
          </cell>
          <cell r="FM37">
            <v>-3</v>
          </cell>
          <cell r="FN37" t="str">
            <v>0</v>
          </cell>
          <cell r="FO37" t="str">
            <v>1</v>
          </cell>
          <cell r="FP37">
            <v>1</v>
          </cell>
          <cell r="FQ37" t="str">
            <v>21</v>
          </cell>
        </row>
        <row r="38">
          <cell r="F38" t="str">
            <v>최규락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M38" t="str">
            <v>(5일)</v>
          </cell>
          <cell r="AP38">
            <v>1</v>
          </cell>
          <cell r="AQ38" t="str">
            <v>(1일)</v>
          </cell>
          <cell r="EC38">
            <v>3</v>
          </cell>
          <cell r="ED38">
            <v>3</v>
          </cell>
          <cell r="FD38">
            <v>9</v>
          </cell>
          <cell r="FE38">
            <v>0</v>
          </cell>
          <cell r="FF38">
            <v>2</v>
          </cell>
          <cell r="FG38">
            <v>6</v>
          </cell>
          <cell r="FH38">
            <v>2</v>
          </cell>
          <cell r="FI38">
            <v>8</v>
          </cell>
          <cell r="FJ38">
            <v>25</v>
          </cell>
          <cell r="FK38">
            <v>17</v>
          </cell>
          <cell r="FL38">
            <v>16</v>
          </cell>
          <cell r="FM38">
            <v>1</v>
          </cell>
          <cell r="FN38" t="str">
            <v>1</v>
          </cell>
          <cell r="FO38" t="str">
            <v>1</v>
          </cell>
          <cell r="FP38">
            <v>2</v>
          </cell>
          <cell r="FQ38" t="str">
            <v>21</v>
          </cell>
        </row>
        <row r="39">
          <cell r="F39" t="str">
            <v>최진영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 t="str">
            <v>(4일)</v>
          </cell>
          <cell r="EG39">
            <v>3</v>
          </cell>
          <cell r="EH39">
            <v>3</v>
          </cell>
          <cell r="FD39">
            <v>5</v>
          </cell>
          <cell r="FE39">
            <v>0</v>
          </cell>
          <cell r="FF39">
            <v>2</v>
          </cell>
          <cell r="FG39">
            <v>4</v>
          </cell>
          <cell r="FH39">
            <v>1</v>
          </cell>
          <cell r="FI39">
            <v>5</v>
          </cell>
          <cell r="FJ39">
            <v>25</v>
          </cell>
          <cell r="FK39">
            <v>20</v>
          </cell>
          <cell r="FL39">
            <v>16</v>
          </cell>
          <cell r="FM39">
            <v>4</v>
          </cell>
          <cell r="FN39" t="str">
            <v>1</v>
          </cell>
          <cell r="FO39" t="str">
            <v>1</v>
          </cell>
          <cell r="FP39">
            <v>2</v>
          </cell>
          <cell r="FQ39" t="str">
            <v>21</v>
          </cell>
        </row>
        <row r="40">
          <cell r="F40" t="str">
            <v>김성록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 t="str">
            <v>(4일)</v>
          </cell>
          <cell r="EK40">
            <v>1</v>
          </cell>
          <cell r="EL40">
            <v>1</v>
          </cell>
          <cell r="FD40">
            <v>9</v>
          </cell>
          <cell r="FE40">
            <v>0</v>
          </cell>
          <cell r="FF40">
            <v>0</v>
          </cell>
          <cell r="FG40">
            <v>6</v>
          </cell>
          <cell r="FH40">
            <v>0.5</v>
          </cell>
          <cell r="FI40">
            <v>6.5</v>
          </cell>
          <cell r="FJ40">
            <v>24</v>
          </cell>
          <cell r="FK40">
            <v>17.5</v>
          </cell>
          <cell r="FL40">
            <v>16</v>
          </cell>
          <cell r="FM40">
            <v>1.5</v>
          </cell>
          <cell r="FN40" t="str">
            <v>1</v>
          </cell>
          <cell r="FO40" t="str">
            <v>1</v>
          </cell>
          <cell r="FP40">
            <v>2</v>
          </cell>
          <cell r="FQ40" t="str">
            <v>21</v>
          </cell>
        </row>
        <row r="41">
          <cell r="F41" t="str">
            <v>김윤규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 t="str">
            <v>(3일)</v>
          </cell>
          <cell r="FD41">
            <v>7</v>
          </cell>
          <cell r="FE41">
            <v>0</v>
          </cell>
          <cell r="FF41">
            <v>0</v>
          </cell>
          <cell r="FG41">
            <v>3</v>
          </cell>
          <cell r="FH41">
            <v>2</v>
          </cell>
          <cell r="FI41">
            <v>5</v>
          </cell>
          <cell r="FJ41">
            <v>24</v>
          </cell>
          <cell r="FK41">
            <v>19</v>
          </cell>
          <cell r="FL41">
            <v>16</v>
          </cell>
          <cell r="FM41">
            <v>3</v>
          </cell>
          <cell r="FN41" t="str">
            <v>1</v>
          </cell>
          <cell r="FO41" t="str">
            <v>1</v>
          </cell>
          <cell r="FP41">
            <v>2</v>
          </cell>
          <cell r="FQ41" t="str">
            <v>21</v>
          </cell>
        </row>
        <row r="42">
          <cell r="F42" t="str">
            <v>송상열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 t="str">
            <v>(5일)</v>
          </cell>
          <cell r="EC42">
            <v>3</v>
          </cell>
          <cell r="ED42">
            <v>3</v>
          </cell>
          <cell r="FD42">
            <v>9</v>
          </cell>
          <cell r="FE42">
            <v>0</v>
          </cell>
          <cell r="FF42">
            <v>2</v>
          </cell>
          <cell r="FG42">
            <v>5</v>
          </cell>
          <cell r="FH42">
            <v>1</v>
          </cell>
          <cell r="FI42">
            <v>6</v>
          </cell>
          <cell r="FJ42">
            <v>25</v>
          </cell>
          <cell r="FK42">
            <v>19</v>
          </cell>
          <cell r="FL42">
            <v>16</v>
          </cell>
          <cell r="FM42">
            <v>3</v>
          </cell>
          <cell r="FN42" t="str">
            <v>1</v>
          </cell>
          <cell r="FO42" t="str">
            <v>1</v>
          </cell>
          <cell r="FP42">
            <v>2</v>
          </cell>
          <cell r="FQ42" t="str">
            <v>21</v>
          </cell>
        </row>
        <row r="43">
          <cell r="F43" t="str">
            <v>이환수</v>
          </cell>
          <cell r="FD43">
            <v>3</v>
          </cell>
          <cell r="FE43">
            <v>0</v>
          </cell>
          <cell r="FF43">
            <v>0</v>
          </cell>
          <cell r="FH43">
            <v>2.5</v>
          </cell>
          <cell r="FI43">
            <v>2.5</v>
          </cell>
          <cell r="FJ43">
            <v>25</v>
          </cell>
          <cell r="FK43">
            <v>22.5</v>
          </cell>
          <cell r="FL43">
            <v>16</v>
          </cell>
          <cell r="FM43">
            <v>6.5</v>
          </cell>
          <cell r="FN43" t="str">
            <v>1</v>
          </cell>
          <cell r="FO43" t="str">
            <v>1</v>
          </cell>
          <cell r="FP43">
            <v>2</v>
          </cell>
          <cell r="FQ43" t="str">
            <v>21</v>
          </cell>
        </row>
        <row r="44">
          <cell r="F44" t="str">
            <v>고영일</v>
          </cell>
          <cell r="CP44">
            <v>1</v>
          </cell>
          <cell r="CQ44">
            <v>1</v>
          </cell>
          <cell r="CR44">
            <v>1</v>
          </cell>
          <cell r="CS44" t="str">
            <v>(3일)</v>
          </cell>
          <cell r="DZ44">
            <v>3</v>
          </cell>
          <cell r="EA44">
            <v>3</v>
          </cell>
          <cell r="FD44">
            <v>13</v>
          </cell>
          <cell r="FE44">
            <v>0</v>
          </cell>
          <cell r="FF44">
            <v>2</v>
          </cell>
          <cell r="FG44">
            <v>3</v>
          </cell>
          <cell r="FH44">
            <v>8</v>
          </cell>
          <cell r="FI44">
            <v>11</v>
          </cell>
          <cell r="FJ44">
            <v>24</v>
          </cell>
          <cell r="FK44">
            <v>13</v>
          </cell>
          <cell r="FL44">
            <v>16</v>
          </cell>
          <cell r="FM44">
            <v>-3</v>
          </cell>
          <cell r="FN44" t="str">
            <v>0</v>
          </cell>
          <cell r="FO44" t="str">
            <v>1</v>
          </cell>
          <cell r="FP44">
            <v>1</v>
          </cell>
          <cell r="FQ44" t="str">
            <v>21</v>
          </cell>
        </row>
        <row r="45">
          <cell r="F45" t="str">
            <v>김강영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 t="str">
            <v>(3일)</v>
          </cell>
          <cell r="AN45">
            <v>1</v>
          </cell>
          <cell r="AO45" t="str">
            <v>(1일)</v>
          </cell>
          <cell r="CD45">
            <v>1</v>
          </cell>
          <cell r="CE45">
            <v>1</v>
          </cell>
          <cell r="CF45">
            <v>1</v>
          </cell>
          <cell r="CG45" t="str">
            <v>(3일)</v>
          </cell>
          <cell r="CR45">
            <v>3</v>
          </cell>
          <cell r="CS45">
            <v>3</v>
          </cell>
          <cell r="CT45">
            <v>3</v>
          </cell>
          <cell r="CU45">
            <v>3</v>
          </cell>
          <cell r="CV45">
            <v>3</v>
          </cell>
          <cell r="DO45">
            <v>3</v>
          </cell>
          <cell r="DP45">
            <v>3</v>
          </cell>
          <cell r="FD45">
            <v>14</v>
          </cell>
          <cell r="FE45">
            <v>0</v>
          </cell>
          <cell r="FF45">
            <v>7</v>
          </cell>
          <cell r="FG45">
            <v>7</v>
          </cell>
          <cell r="FH45">
            <v>3</v>
          </cell>
          <cell r="FI45">
            <v>10</v>
          </cell>
          <cell r="FJ45">
            <v>24</v>
          </cell>
          <cell r="FK45">
            <v>14</v>
          </cell>
          <cell r="FL45">
            <v>16</v>
          </cell>
          <cell r="FM45">
            <v>-2</v>
          </cell>
          <cell r="FN45" t="str">
            <v>0</v>
          </cell>
          <cell r="FO45" t="str">
            <v>1</v>
          </cell>
          <cell r="FP45">
            <v>1</v>
          </cell>
          <cell r="FQ45" t="str">
            <v>21</v>
          </cell>
        </row>
        <row r="46">
          <cell r="F46" t="str">
            <v>박승수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 t="str">
            <v>(3일)</v>
          </cell>
          <cell r="CM46">
            <v>1</v>
          </cell>
          <cell r="CN46">
            <v>1</v>
          </cell>
          <cell r="CO46">
            <v>1</v>
          </cell>
          <cell r="CP46" t="str">
            <v>(1일)</v>
          </cell>
          <cell r="DO46">
            <v>3</v>
          </cell>
          <cell r="DP46">
            <v>3</v>
          </cell>
          <cell r="FD46">
            <v>10</v>
          </cell>
          <cell r="FE46">
            <v>0</v>
          </cell>
          <cell r="FF46">
            <v>10</v>
          </cell>
          <cell r="FG46">
            <v>4</v>
          </cell>
          <cell r="FH46">
            <v>1</v>
          </cell>
          <cell r="FI46">
            <v>5</v>
          </cell>
          <cell r="FJ46">
            <v>25</v>
          </cell>
          <cell r="FK46">
            <v>20</v>
          </cell>
          <cell r="FL46">
            <v>16</v>
          </cell>
          <cell r="FM46">
            <v>4</v>
          </cell>
          <cell r="FN46" t="str">
            <v>1</v>
          </cell>
          <cell r="FO46" t="str">
            <v>1</v>
          </cell>
          <cell r="FP46">
            <v>2</v>
          </cell>
          <cell r="FQ46" t="str">
            <v>21</v>
          </cell>
        </row>
        <row r="47">
          <cell r="F47" t="str">
            <v>박종진</v>
          </cell>
          <cell r="AD47">
            <v>3</v>
          </cell>
          <cell r="AE47">
            <v>3</v>
          </cell>
          <cell r="AF47">
            <v>3</v>
          </cell>
          <cell r="CC47">
            <v>1</v>
          </cell>
          <cell r="CD47" t="str">
            <v>(1일)</v>
          </cell>
          <cell r="DV47">
            <v>3</v>
          </cell>
          <cell r="DW47">
            <v>3</v>
          </cell>
          <cell r="EN47">
            <v>1</v>
          </cell>
          <cell r="EO47" t="str">
            <v>(1일)</v>
          </cell>
          <cell r="FD47">
            <v>11</v>
          </cell>
          <cell r="FE47">
            <v>0</v>
          </cell>
          <cell r="FF47">
            <v>5</v>
          </cell>
          <cell r="FG47">
            <v>2</v>
          </cell>
          <cell r="FH47">
            <v>8</v>
          </cell>
          <cell r="FI47">
            <v>10</v>
          </cell>
          <cell r="FJ47">
            <v>24</v>
          </cell>
          <cell r="FK47">
            <v>14</v>
          </cell>
          <cell r="FL47">
            <v>16</v>
          </cell>
          <cell r="FM47">
            <v>-2</v>
          </cell>
          <cell r="FN47" t="str">
            <v>0</v>
          </cell>
          <cell r="FO47" t="str">
            <v>1</v>
          </cell>
          <cell r="FP47">
            <v>1</v>
          </cell>
          <cell r="FQ47" t="str">
            <v>21</v>
          </cell>
        </row>
        <row r="48">
          <cell r="F48" t="str">
            <v>박형강</v>
          </cell>
          <cell r="CT48">
            <v>1</v>
          </cell>
          <cell r="CU48">
            <v>1</v>
          </cell>
          <cell r="CV48">
            <v>1</v>
          </cell>
          <cell r="CW48" t="str">
            <v>(3일)</v>
          </cell>
          <cell r="DZ48">
            <v>3</v>
          </cell>
          <cell r="EA48">
            <v>3</v>
          </cell>
          <cell r="FD48">
            <v>12</v>
          </cell>
          <cell r="FE48">
            <v>2</v>
          </cell>
          <cell r="FF48">
            <v>2</v>
          </cell>
          <cell r="FG48">
            <v>3</v>
          </cell>
          <cell r="FH48">
            <v>7</v>
          </cell>
          <cell r="FI48">
            <v>10</v>
          </cell>
          <cell r="FJ48">
            <v>24</v>
          </cell>
          <cell r="FK48">
            <v>14</v>
          </cell>
          <cell r="FL48">
            <v>16</v>
          </cell>
          <cell r="FM48">
            <v>-2</v>
          </cell>
          <cell r="FN48" t="str">
            <v>0</v>
          </cell>
          <cell r="FO48" t="str">
            <v>0</v>
          </cell>
          <cell r="FP48">
            <v>0</v>
          </cell>
          <cell r="FQ48" t="str">
            <v>21</v>
          </cell>
        </row>
        <row r="49">
          <cell r="F49" t="str">
            <v>안재범</v>
          </cell>
          <cell r="BY49">
            <v>1</v>
          </cell>
          <cell r="BZ49">
            <v>1</v>
          </cell>
          <cell r="CA49">
            <v>1</v>
          </cell>
          <cell r="CB49" t="str">
            <v>(3일)</v>
          </cell>
          <cell r="DQ49">
            <v>3</v>
          </cell>
          <cell r="DR49">
            <v>3</v>
          </cell>
          <cell r="FD49">
            <v>12</v>
          </cell>
          <cell r="FE49">
            <v>0</v>
          </cell>
          <cell r="FF49">
            <v>2</v>
          </cell>
          <cell r="FG49">
            <v>3</v>
          </cell>
          <cell r="FH49">
            <v>6</v>
          </cell>
          <cell r="FI49">
            <v>9</v>
          </cell>
          <cell r="FJ49">
            <v>25</v>
          </cell>
          <cell r="FK49">
            <v>16</v>
          </cell>
          <cell r="FL49">
            <v>16</v>
          </cell>
          <cell r="FM49">
            <v>0</v>
          </cell>
          <cell r="FN49" t="str">
            <v>0</v>
          </cell>
          <cell r="FO49" t="str">
            <v>1</v>
          </cell>
          <cell r="FP49">
            <v>1</v>
          </cell>
          <cell r="FQ49" t="str">
            <v>21</v>
          </cell>
        </row>
        <row r="50">
          <cell r="F50" t="str">
            <v>이경재</v>
          </cell>
          <cell r="AV50">
            <v>1</v>
          </cell>
          <cell r="AW50" t="str">
            <v>(1일)</v>
          </cell>
          <cell r="DX50">
            <v>3</v>
          </cell>
          <cell r="DY50">
            <v>3</v>
          </cell>
          <cell r="FD50">
            <v>15</v>
          </cell>
          <cell r="FE50">
            <v>0</v>
          </cell>
          <cell r="FF50">
            <v>2</v>
          </cell>
          <cell r="FG50">
            <v>1</v>
          </cell>
          <cell r="FH50">
            <v>12</v>
          </cell>
          <cell r="FI50">
            <v>13</v>
          </cell>
          <cell r="FJ50">
            <v>23</v>
          </cell>
          <cell r="FK50">
            <v>10</v>
          </cell>
          <cell r="FL50">
            <v>16</v>
          </cell>
          <cell r="FM50">
            <v>-6</v>
          </cell>
          <cell r="FN50" t="str">
            <v>0</v>
          </cell>
          <cell r="FO50" t="str">
            <v>1</v>
          </cell>
          <cell r="FP50">
            <v>1</v>
          </cell>
          <cell r="FQ50" t="str">
            <v>21</v>
          </cell>
        </row>
        <row r="51">
          <cell r="F51" t="str">
            <v>이동기</v>
          </cell>
          <cell r="AO51">
            <v>1</v>
          </cell>
          <cell r="AP51" t="str">
            <v>(1일)</v>
          </cell>
          <cell r="BB51">
            <v>1</v>
          </cell>
          <cell r="BC51" t="str">
            <v>(1일)</v>
          </cell>
          <cell r="FD51">
            <v>10</v>
          </cell>
          <cell r="FE51">
            <v>0</v>
          </cell>
          <cell r="FF51">
            <v>9</v>
          </cell>
          <cell r="FG51">
            <v>2</v>
          </cell>
          <cell r="FH51">
            <v>7</v>
          </cell>
          <cell r="FI51">
            <v>9</v>
          </cell>
          <cell r="FJ51">
            <v>25</v>
          </cell>
          <cell r="FK51">
            <v>16</v>
          </cell>
          <cell r="FL51">
            <v>16</v>
          </cell>
          <cell r="FM51">
            <v>0</v>
          </cell>
          <cell r="FN51" t="str">
            <v>0</v>
          </cell>
          <cell r="FO51" t="str">
            <v>1</v>
          </cell>
          <cell r="FP51">
            <v>1</v>
          </cell>
          <cell r="FQ51" t="str">
            <v>21</v>
          </cell>
        </row>
        <row r="52">
          <cell r="F52" t="str">
            <v>이종배</v>
          </cell>
          <cell r="CT52">
            <v>1</v>
          </cell>
          <cell r="CU52">
            <v>1</v>
          </cell>
          <cell r="CV52">
            <v>1</v>
          </cell>
          <cell r="CW52" t="str">
            <v>(1일)</v>
          </cell>
          <cell r="DS52">
            <v>3</v>
          </cell>
          <cell r="DT52">
            <v>3</v>
          </cell>
          <cell r="FD52">
            <v>7</v>
          </cell>
          <cell r="FE52">
            <v>0</v>
          </cell>
          <cell r="FF52">
            <v>2</v>
          </cell>
          <cell r="FG52">
            <v>1</v>
          </cell>
          <cell r="FH52">
            <v>4</v>
          </cell>
          <cell r="FI52">
            <v>5</v>
          </cell>
          <cell r="FJ52">
            <v>25</v>
          </cell>
          <cell r="FK52">
            <v>20</v>
          </cell>
          <cell r="FL52">
            <v>16</v>
          </cell>
          <cell r="FM52">
            <v>4</v>
          </cell>
          <cell r="FN52" t="str">
            <v>1</v>
          </cell>
          <cell r="FO52" t="str">
            <v>1</v>
          </cell>
          <cell r="FP52">
            <v>2</v>
          </cell>
          <cell r="FQ52" t="str">
            <v>21</v>
          </cell>
        </row>
        <row r="53">
          <cell r="F53" t="str">
            <v>홍영표</v>
          </cell>
          <cell r="EC53">
            <v>3</v>
          </cell>
          <cell r="ED53">
            <v>3</v>
          </cell>
          <cell r="FD53">
            <v>6</v>
          </cell>
          <cell r="FE53">
            <v>1</v>
          </cell>
          <cell r="FF53">
            <v>2</v>
          </cell>
          <cell r="FH53">
            <v>5</v>
          </cell>
          <cell r="FI53">
            <v>5</v>
          </cell>
          <cell r="FJ53">
            <v>24</v>
          </cell>
          <cell r="FK53">
            <v>19</v>
          </cell>
          <cell r="FL53">
            <v>16</v>
          </cell>
          <cell r="FM53">
            <v>3</v>
          </cell>
          <cell r="FN53" t="str">
            <v>1</v>
          </cell>
          <cell r="FO53" t="str">
            <v>0</v>
          </cell>
          <cell r="FP53">
            <v>1</v>
          </cell>
          <cell r="FQ53" t="str">
            <v>21</v>
          </cell>
        </row>
        <row r="54">
          <cell r="F54" t="str">
            <v>김욱준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 t="str">
            <v>(4일)</v>
          </cell>
          <cell r="CT54">
            <v>1</v>
          </cell>
          <cell r="CU54">
            <v>1</v>
          </cell>
          <cell r="CV54">
            <v>1</v>
          </cell>
          <cell r="CW54" t="str">
            <v>(3일)</v>
          </cell>
          <cell r="EE54">
            <v>3</v>
          </cell>
          <cell r="EF54">
            <v>3</v>
          </cell>
          <cell r="FD54">
            <v>15</v>
          </cell>
          <cell r="FE54">
            <v>0</v>
          </cell>
          <cell r="FF54">
            <v>3</v>
          </cell>
          <cell r="FG54">
            <v>7</v>
          </cell>
          <cell r="FH54">
            <v>3</v>
          </cell>
          <cell r="FI54">
            <v>10</v>
          </cell>
          <cell r="FJ54">
            <v>25</v>
          </cell>
          <cell r="FK54">
            <v>15</v>
          </cell>
          <cell r="FL54">
            <v>16</v>
          </cell>
          <cell r="FM54">
            <v>-1</v>
          </cell>
          <cell r="FN54" t="str">
            <v>0</v>
          </cell>
          <cell r="FO54" t="str">
            <v>1</v>
          </cell>
          <cell r="FP54">
            <v>1</v>
          </cell>
          <cell r="FQ54" t="str">
            <v>21</v>
          </cell>
        </row>
        <row r="55">
          <cell r="F55" t="str">
            <v>김성훈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 t="str">
            <v>(4일)</v>
          </cell>
          <cell r="BN55">
            <v>2</v>
          </cell>
          <cell r="EE55">
            <v>3</v>
          </cell>
          <cell r="EF55">
            <v>3</v>
          </cell>
          <cell r="EH55">
            <v>3</v>
          </cell>
          <cell r="EI55">
            <v>3</v>
          </cell>
          <cell r="EJ55">
            <v>3</v>
          </cell>
          <cell r="EK55">
            <v>3</v>
          </cell>
          <cell r="EL55">
            <v>3</v>
          </cell>
          <cell r="FD55">
            <v>10</v>
          </cell>
          <cell r="FE55">
            <v>1</v>
          </cell>
          <cell r="FF55">
            <v>7</v>
          </cell>
          <cell r="FG55">
            <v>4</v>
          </cell>
          <cell r="FH55">
            <v>2</v>
          </cell>
          <cell r="FI55">
            <v>6</v>
          </cell>
          <cell r="FJ55">
            <v>16</v>
          </cell>
          <cell r="FK55">
            <v>10</v>
          </cell>
          <cell r="FL55">
            <v>16</v>
          </cell>
          <cell r="FM55">
            <v>-6</v>
          </cell>
          <cell r="FN55" t="str">
            <v>0</v>
          </cell>
          <cell r="FO55" t="str">
            <v>0</v>
          </cell>
          <cell r="FP55">
            <v>0</v>
          </cell>
          <cell r="FQ55">
            <v>16</v>
          </cell>
        </row>
        <row r="56">
          <cell r="F56" t="str">
            <v>김현철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 t="str">
            <v>(4일)</v>
          </cell>
          <cell r="CI56">
            <v>1</v>
          </cell>
          <cell r="CJ56">
            <v>1</v>
          </cell>
          <cell r="CK56">
            <v>1</v>
          </cell>
          <cell r="CL56" t="str">
            <v>(2일)</v>
          </cell>
          <cell r="EG56">
            <v>3</v>
          </cell>
          <cell r="EH56">
            <v>3</v>
          </cell>
          <cell r="FD56">
            <v>12</v>
          </cell>
          <cell r="FE56">
            <v>1</v>
          </cell>
          <cell r="FF56">
            <v>2</v>
          </cell>
          <cell r="FG56">
            <v>6</v>
          </cell>
          <cell r="FH56">
            <v>2</v>
          </cell>
          <cell r="FI56">
            <v>8</v>
          </cell>
          <cell r="FJ56">
            <v>22</v>
          </cell>
          <cell r="FK56">
            <v>14</v>
          </cell>
          <cell r="FL56">
            <v>16</v>
          </cell>
          <cell r="FM56">
            <v>-2</v>
          </cell>
          <cell r="FN56" t="str">
            <v>0</v>
          </cell>
          <cell r="FO56" t="str">
            <v>0</v>
          </cell>
          <cell r="FP56">
            <v>0</v>
          </cell>
          <cell r="FQ56">
            <v>22</v>
          </cell>
        </row>
        <row r="57">
          <cell r="F57" t="str">
            <v>류경탁</v>
          </cell>
          <cell r="CM57">
            <v>1</v>
          </cell>
          <cell r="CN57">
            <v>1</v>
          </cell>
          <cell r="CO57">
            <v>1</v>
          </cell>
          <cell r="CP57" t="str">
            <v>(2일)</v>
          </cell>
          <cell r="DT57">
            <v>3</v>
          </cell>
          <cell r="DU57">
            <v>3</v>
          </cell>
          <cell r="FD57">
            <v>13</v>
          </cell>
          <cell r="FE57">
            <v>0</v>
          </cell>
          <cell r="FF57">
            <v>2</v>
          </cell>
          <cell r="FG57">
            <v>2</v>
          </cell>
          <cell r="FH57">
            <v>9</v>
          </cell>
          <cell r="FI57">
            <v>11</v>
          </cell>
          <cell r="FJ57">
            <v>23</v>
          </cell>
          <cell r="FK57">
            <v>12</v>
          </cell>
          <cell r="FL57">
            <v>16</v>
          </cell>
          <cell r="FM57">
            <v>-4</v>
          </cell>
          <cell r="FN57" t="str">
            <v>0</v>
          </cell>
          <cell r="FO57" t="str">
            <v>1</v>
          </cell>
          <cell r="FP57">
            <v>1</v>
          </cell>
          <cell r="FQ57" t="str">
            <v>21</v>
          </cell>
        </row>
        <row r="58">
          <cell r="F58" t="str">
            <v>배남준</v>
          </cell>
          <cell r="EE58">
            <v>3</v>
          </cell>
          <cell r="EF58">
            <v>3</v>
          </cell>
          <cell r="FD58">
            <v>9</v>
          </cell>
          <cell r="FE58">
            <v>0</v>
          </cell>
          <cell r="FF58">
            <v>2</v>
          </cell>
          <cell r="FH58">
            <v>7</v>
          </cell>
          <cell r="FI58">
            <v>7</v>
          </cell>
          <cell r="FJ58">
            <v>24</v>
          </cell>
          <cell r="FK58">
            <v>17</v>
          </cell>
          <cell r="FL58">
            <v>16</v>
          </cell>
          <cell r="FM58">
            <v>1</v>
          </cell>
          <cell r="FN58" t="str">
            <v>1</v>
          </cell>
          <cell r="FO58" t="str">
            <v>1</v>
          </cell>
          <cell r="FP58">
            <v>2</v>
          </cell>
          <cell r="FQ58" t="str">
            <v>21</v>
          </cell>
        </row>
        <row r="59">
          <cell r="F59" t="str">
            <v>백승환</v>
          </cell>
          <cell r="CC59">
            <v>1</v>
          </cell>
          <cell r="CD59">
            <v>1</v>
          </cell>
          <cell r="CE59">
            <v>1</v>
          </cell>
          <cell r="CF59" t="str">
            <v>(2일)</v>
          </cell>
          <cell r="DV59">
            <v>3</v>
          </cell>
          <cell r="DW59">
            <v>3</v>
          </cell>
          <cell r="FD59">
            <v>13</v>
          </cell>
          <cell r="FE59">
            <v>0</v>
          </cell>
          <cell r="FF59">
            <v>2</v>
          </cell>
          <cell r="FG59">
            <v>2</v>
          </cell>
          <cell r="FH59">
            <v>7</v>
          </cell>
          <cell r="FI59">
            <v>9</v>
          </cell>
          <cell r="FJ59">
            <v>19</v>
          </cell>
          <cell r="FK59">
            <v>10</v>
          </cell>
          <cell r="FL59">
            <v>16</v>
          </cell>
          <cell r="FM59">
            <v>-6</v>
          </cell>
          <cell r="FN59" t="str">
            <v>0</v>
          </cell>
          <cell r="FO59" t="str">
            <v>1</v>
          </cell>
          <cell r="FP59">
            <v>1</v>
          </cell>
          <cell r="FQ59">
            <v>20</v>
          </cell>
        </row>
        <row r="60">
          <cell r="F60" t="str">
            <v>송헌영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 t="str">
            <v>(5일)</v>
          </cell>
          <cell r="BU60">
            <v>1</v>
          </cell>
          <cell r="BV60">
            <v>1</v>
          </cell>
          <cell r="BW60">
            <v>1</v>
          </cell>
          <cell r="BX60" t="str">
            <v>(3일)</v>
          </cell>
          <cell r="DQ60">
            <v>3</v>
          </cell>
          <cell r="DR60">
            <v>3</v>
          </cell>
          <cell r="FD60">
            <v>12</v>
          </cell>
          <cell r="FE60">
            <v>0</v>
          </cell>
          <cell r="FF60">
            <v>8</v>
          </cell>
          <cell r="FG60">
            <v>8</v>
          </cell>
          <cell r="FH60">
            <v>2</v>
          </cell>
          <cell r="FI60">
            <v>10</v>
          </cell>
          <cell r="FJ60">
            <v>24</v>
          </cell>
          <cell r="FK60">
            <v>14</v>
          </cell>
          <cell r="FL60">
            <v>16</v>
          </cell>
          <cell r="FM60">
            <v>-2</v>
          </cell>
          <cell r="FN60" t="str">
            <v>0</v>
          </cell>
          <cell r="FO60" t="str">
            <v>1</v>
          </cell>
          <cell r="FP60">
            <v>1</v>
          </cell>
          <cell r="FQ60" t="str">
            <v>21</v>
          </cell>
        </row>
        <row r="61">
          <cell r="F61" t="str">
            <v>이병훈</v>
          </cell>
          <cell r="BR61">
            <v>1</v>
          </cell>
          <cell r="BS61">
            <v>1</v>
          </cell>
          <cell r="BT61">
            <v>1</v>
          </cell>
          <cell r="BU61" t="str">
            <v>(2일)</v>
          </cell>
          <cell r="EE61">
            <v>3</v>
          </cell>
          <cell r="EF61">
            <v>3</v>
          </cell>
          <cell r="FD61">
            <v>12</v>
          </cell>
          <cell r="FE61">
            <v>0</v>
          </cell>
          <cell r="FF61">
            <v>2</v>
          </cell>
          <cell r="FG61">
            <v>2</v>
          </cell>
          <cell r="FH61">
            <v>6</v>
          </cell>
          <cell r="FI61">
            <v>8</v>
          </cell>
          <cell r="FJ61">
            <v>16</v>
          </cell>
          <cell r="FK61">
            <v>8</v>
          </cell>
          <cell r="FL61">
            <v>16</v>
          </cell>
          <cell r="FM61">
            <v>-8</v>
          </cell>
          <cell r="FN61" t="str">
            <v>0</v>
          </cell>
          <cell r="FO61" t="str">
            <v>1</v>
          </cell>
          <cell r="FP61">
            <v>1</v>
          </cell>
          <cell r="FQ61">
            <v>17</v>
          </cell>
        </row>
        <row r="62">
          <cell r="F62" t="str">
            <v>임대빈</v>
          </cell>
          <cell r="CJ62">
            <v>1</v>
          </cell>
          <cell r="CK62">
            <v>1</v>
          </cell>
          <cell r="CL62">
            <v>1</v>
          </cell>
          <cell r="CM62" t="str">
            <v>(3일)</v>
          </cell>
          <cell r="DV62">
            <v>3</v>
          </cell>
          <cell r="DW62">
            <v>3</v>
          </cell>
          <cell r="EJ62">
            <v>1</v>
          </cell>
          <cell r="EK62" t="str">
            <v>(1일)</v>
          </cell>
          <cell r="FD62">
            <v>15</v>
          </cell>
          <cell r="FE62">
            <v>8</v>
          </cell>
          <cell r="FF62">
            <v>2</v>
          </cell>
          <cell r="FG62">
            <v>4</v>
          </cell>
          <cell r="FH62">
            <v>9</v>
          </cell>
          <cell r="FI62">
            <v>13</v>
          </cell>
          <cell r="FJ62">
            <v>25</v>
          </cell>
          <cell r="FK62">
            <v>12</v>
          </cell>
          <cell r="FL62">
            <v>16</v>
          </cell>
          <cell r="FM62">
            <v>-4</v>
          </cell>
          <cell r="FN62" t="str">
            <v>0</v>
          </cell>
          <cell r="FO62" t="str">
            <v>0</v>
          </cell>
          <cell r="FP62">
            <v>0</v>
          </cell>
          <cell r="FQ62" t="str">
            <v>21</v>
          </cell>
        </row>
        <row r="63">
          <cell r="F63" t="str">
            <v>윤중희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 t="str">
            <v>(5일)</v>
          </cell>
          <cell r="CW63">
            <v>1</v>
          </cell>
          <cell r="CX63">
            <v>1</v>
          </cell>
          <cell r="CY63">
            <v>1</v>
          </cell>
          <cell r="CZ63" t="str">
            <v>(2일)</v>
          </cell>
          <cell r="DX63">
            <v>3</v>
          </cell>
          <cell r="DY63">
            <v>3</v>
          </cell>
          <cell r="FD63">
            <v>17</v>
          </cell>
          <cell r="FE63">
            <v>0</v>
          </cell>
          <cell r="FF63">
            <v>2</v>
          </cell>
          <cell r="FG63">
            <v>7</v>
          </cell>
          <cell r="FH63">
            <v>3</v>
          </cell>
          <cell r="FI63">
            <v>10</v>
          </cell>
          <cell r="FJ63">
            <v>24</v>
          </cell>
          <cell r="FK63">
            <v>14</v>
          </cell>
          <cell r="FL63">
            <v>16</v>
          </cell>
          <cell r="FM63">
            <v>-2</v>
          </cell>
          <cell r="FN63" t="str">
            <v>0</v>
          </cell>
          <cell r="FO63" t="str">
            <v>1</v>
          </cell>
          <cell r="FP63">
            <v>1</v>
          </cell>
          <cell r="FQ63" t="str">
            <v>21</v>
          </cell>
        </row>
        <row r="64">
          <cell r="F64" t="str">
            <v>김교원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 t="str">
            <v>(5일)</v>
          </cell>
          <cell r="CP64">
            <v>1</v>
          </cell>
          <cell r="CQ64">
            <v>1</v>
          </cell>
          <cell r="CR64">
            <v>1</v>
          </cell>
          <cell r="CS64" t="str">
            <v>(2일)</v>
          </cell>
          <cell r="EC64">
            <v>3</v>
          </cell>
          <cell r="ED64">
            <v>3</v>
          </cell>
          <cell r="FD64">
            <v>12</v>
          </cell>
          <cell r="FE64">
            <v>0</v>
          </cell>
          <cell r="FF64">
            <v>2</v>
          </cell>
          <cell r="FG64">
            <v>7</v>
          </cell>
          <cell r="FH64">
            <v>3</v>
          </cell>
          <cell r="FI64">
            <v>10</v>
          </cell>
          <cell r="FJ64">
            <v>25</v>
          </cell>
          <cell r="FK64">
            <v>15</v>
          </cell>
          <cell r="FL64">
            <v>16</v>
          </cell>
          <cell r="FM64">
            <v>-1</v>
          </cell>
          <cell r="FN64" t="str">
            <v>0</v>
          </cell>
          <cell r="FO64" t="str">
            <v>1</v>
          </cell>
          <cell r="FP64">
            <v>1</v>
          </cell>
          <cell r="FQ64" t="str">
            <v>21</v>
          </cell>
        </row>
        <row r="65">
          <cell r="F65" t="str">
            <v>김재우</v>
          </cell>
          <cell r="N65">
            <v>1</v>
          </cell>
          <cell r="O65">
            <v>1</v>
          </cell>
          <cell r="P65">
            <v>1</v>
          </cell>
          <cell r="Q65" t="str">
            <v>(3일)</v>
          </cell>
          <cell r="CW65">
            <v>1</v>
          </cell>
          <cell r="CX65">
            <v>1</v>
          </cell>
          <cell r="CY65">
            <v>1</v>
          </cell>
          <cell r="CZ65" t="str">
            <v>(2일)</v>
          </cell>
          <cell r="DV65">
            <v>3</v>
          </cell>
          <cell r="DW65">
            <v>3</v>
          </cell>
          <cell r="FD65">
            <v>8</v>
          </cell>
          <cell r="FE65">
            <v>0</v>
          </cell>
          <cell r="FF65">
            <v>11</v>
          </cell>
          <cell r="FG65">
            <v>5</v>
          </cell>
          <cell r="FH65">
            <v>2</v>
          </cell>
          <cell r="FI65">
            <v>7</v>
          </cell>
          <cell r="FJ65">
            <v>25</v>
          </cell>
          <cell r="FK65">
            <v>18</v>
          </cell>
          <cell r="FL65">
            <v>16</v>
          </cell>
          <cell r="FM65">
            <v>2</v>
          </cell>
          <cell r="FN65" t="str">
            <v>1</v>
          </cell>
          <cell r="FO65" t="str">
            <v>1</v>
          </cell>
          <cell r="FP65">
            <v>2</v>
          </cell>
          <cell r="FQ65" t="str">
            <v>21</v>
          </cell>
        </row>
        <row r="66">
          <cell r="F66" t="str">
            <v>김홍주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 t="str">
            <v>(5일)</v>
          </cell>
          <cell r="CM66">
            <v>1</v>
          </cell>
          <cell r="CN66">
            <v>1</v>
          </cell>
          <cell r="CO66">
            <v>1</v>
          </cell>
          <cell r="CP66" t="str">
            <v>(3일)</v>
          </cell>
          <cell r="DY66">
            <v>3</v>
          </cell>
          <cell r="DZ66">
            <v>3</v>
          </cell>
          <cell r="FD66">
            <v>14</v>
          </cell>
          <cell r="FE66">
            <v>0</v>
          </cell>
          <cell r="FF66">
            <v>2</v>
          </cell>
          <cell r="FG66">
            <v>8</v>
          </cell>
          <cell r="FH66">
            <v>4</v>
          </cell>
          <cell r="FI66">
            <v>12</v>
          </cell>
          <cell r="FJ66">
            <v>24</v>
          </cell>
          <cell r="FK66">
            <v>12</v>
          </cell>
          <cell r="FL66">
            <v>16</v>
          </cell>
          <cell r="FM66">
            <v>-4</v>
          </cell>
          <cell r="FN66" t="str">
            <v>0</v>
          </cell>
          <cell r="FO66" t="str">
            <v>1</v>
          </cell>
          <cell r="FP66">
            <v>1</v>
          </cell>
          <cell r="FQ66" t="str">
            <v>21</v>
          </cell>
        </row>
        <row r="67">
          <cell r="F67" t="str">
            <v>김흥환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 t="str">
            <v>(4일)</v>
          </cell>
          <cell r="EG67">
            <v>3</v>
          </cell>
          <cell r="EH67">
            <v>3</v>
          </cell>
          <cell r="EU67">
            <v>3</v>
          </cell>
          <cell r="EV67">
            <v>3</v>
          </cell>
          <cell r="EW67">
            <v>3</v>
          </cell>
          <cell r="FD67">
            <v>7</v>
          </cell>
          <cell r="FE67">
            <v>0</v>
          </cell>
          <cell r="FF67">
            <v>10</v>
          </cell>
          <cell r="FG67">
            <v>4</v>
          </cell>
          <cell r="FH67">
            <v>0.5</v>
          </cell>
          <cell r="FI67">
            <v>4.5</v>
          </cell>
          <cell r="FJ67">
            <v>25</v>
          </cell>
          <cell r="FK67">
            <v>20.5</v>
          </cell>
          <cell r="FL67">
            <v>16</v>
          </cell>
          <cell r="FM67">
            <v>4.5</v>
          </cell>
          <cell r="FN67" t="str">
            <v>1</v>
          </cell>
          <cell r="FO67" t="str">
            <v>1</v>
          </cell>
          <cell r="FP67">
            <v>2</v>
          </cell>
          <cell r="FQ67" t="str">
            <v>21</v>
          </cell>
        </row>
        <row r="68">
          <cell r="F68" t="str">
            <v>송안섭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K68">
            <v>1</v>
          </cell>
          <cell r="L68">
            <v>1</v>
          </cell>
          <cell r="M68" t="str">
            <v>(5일)</v>
          </cell>
          <cell r="BU68">
            <v>1</v>
          </cell>
          <cell r="BV68">
            <v>1</v>
          </cell>
          <cell r="BW68">
            <v>1</v>
          </cell>
          <cell r="BX68" t="str">
            <v>(2일)</v>
          </cell>
          <cell r="DQ68">
            <v>3</v>
          </cell>
          <cell r="DR68">
            <v>3</v>
          </cell>
          <cell r="FD68">
            <v>13</v>
          </cell>
          <cell r="FE68">
            <v>0</v>
          </cell>
          <cell r="FF68">
            <v>2</v>
          </cell>
          <cell r="FG68">
            <v>7</v>
          </cell>
          <cell r="FH68">
            <v>3</v>
          </cell>
          <cell r="FI68">
            <v>10</v>
          </cell>
          <cell r="FJ68">
            <v>24</v>
          </cell>
          <cell r="FK68">
            <v>14</v>
          </cell>
          <cell r="FL68">
            <v>16</v>
          </cell>
          <cell r="FM68">
            <v>-2</v>
          </cell>
          <cell r="FN68" t="str">
            <v>0</v>
          </cell>
          <cell r="FO68" t="str">
            <v>1</v>
          </cell>
          <cell r="FP68">
            <v>1</v>
          </cell>
          <cell r="FQ68" t="str">
            <v>21</v>
          </cell>
        </row>
        <row r="69">
          <cell r="F69" t="str">
            <v>신동한</v>
          </cell>
          <cell r="CT69">
            <v>1</v>
          </cell>
          <cell r="CU69">
            <v>1</v>
          </cell>
          <cell r="CV69">
            <v>1</v>
          </cell>
          <cell r="CW69" t="str">
            <v>(3일)</v>
          </cell>
          <cell r="EC69">
            <v>3</v>
          </cell>
          <cell r="ED69">
            <v>3</v>
          </cell>
          <cell r="FD69">
            <v>12</v>
          </cell>
          <cell r="FE69">
            <v>6</v>
          </cell>
          <cell r="FF69">
            <v>2</v>
          </cell>
          <cell r="FG69">
            <v>3</v>
          </cell>
          <cell r="FH69">
            <v>8</v>
          </cell>
          <cell r="FI69">
            <v>11</v>
          </cell>
          <cell r="FJ69">
            <v>24</v>
          </cell>
          <cell r="FK69">
            <v>13</v>
          </cell>
          <cell r="FL69">
            <v>16</v>
          </cell>
          <cell r="FM69">
            <v>-3</v>
          </cell>
          <cell r="FN69" t="str">
            <v>0</v>
          </cell>
          <cell r="FO69" t="str">
            <v>0</v>
          </cell>
          <cell r="FP69">
            <v>0</v>
          </cell>
          <cell r="FQ69" t="str">
            <v>21</v>
          </cell>
        </row>
        <row r="70">
          <cell r="F70" t="str">
            <v>신형식</v>
          </cell>
          <cell r="AP70">
            <v>2</v>
          </cell>
          <cell r="AQ70">
            <v>2</v>
          </cell>
          <cell r="AR70">
            <v>2</v>
          </cell>
          <cell r="AS70">
            <v>2</v>
          </cell>
          <cell r="AT70">
            <v>2</v>
          </cell>
          <cell r="AU70">
            <v>2</v>
          </cell>
          <cell r="AV70">
            <v>2</v>
          </cell>
          <cell r="AW70">
            <v>2</v>
          </cell>
          <cell r="AX70">
            <v>2</v>
          </cell>
          <cell r="AY70">
            <v>2</v>
          </cell>
          <cell r="AZ70">
            <v>2</v>
          </cell>
          <cell r="BA70">
            <v>2</v>
          </cell>
          <cell r="BB70">
            <v>2</v>
          </cell>
          <cell r="BC70">
            <v>2</v>
          </cell>
          <cell r="BD70">
            <v>2</v>
          </cell>
          <cell r="BE70">
            <v>2</v>
          </cell>
          <cell r="BF70">
            <v>2</v>
          </cell>
          <cell r="BG70">
            <v>2</v>
          </cell>
          <cell r="BH70">
            <v>2</v>
          </cell>
          <cell r="BI70">
            <v>2</v>
          </cell>
          <cell r="BJ70">
            <v>2</v>
          </cell>
          <cell r="BK70">
            <v>2</v>
          </cell>
          <cell r="BL70">
            <v>2</v>
          </cell>
          <cell r="BM70">
            <v>2</v>
          </cell>
          <cell r="BN70">
            <v>2</v>
          </cell>
          <cell r="BO70">
            <v>2</v>
          </cell>
          <cell r="BP70">
            <v>2</v>
          </cell>
          <cell r="BQ70">
            <v>2</v>
          </cell>
          <cell r="BR70">
            <v>2</v>
          </cell>
          <cell r="BS70">
            <v>2</v>
          </cell>
          <cell r="BT70">
            <v>2</v>
          </cell>
          <cell r="BU70">
            <v>2</v>
          </cell>
          <cell r="BV70">
            <v>2</v>
          </cell>
          <cell r="BW70">
            <v>2</v>
          </cell>
          <cell r="BX70">
            <v>2</v>
          </cell>
          <cell r="BY70">
            <v>2</v>
          </cell>
          <cell r="BZ70">
            <v>2</v>
          </cell>
          <cell r="CA70">
            <v>2</v>
          </cell>
          <cell r="CB70">
            <v>2</v>
          </cell>
          <cell r="CC70">
            <v>2</v>
          </cell>
          <cell r="CD70">
            <v>2</v>
          </cell>
          <cell r="CE70">
            <v>2</v>
          </cell>
          <cell r="CF70">
            <v>2</v>
          </cell>
          <cell r="CG70">
            <v>2</v>
          </cell>
          <cell r="CH70">
            <v>2</v>
          </cell>
          <cell r="CI70">
            <v>2</v>
          </cell>
          <cell r="CJ70">
            <v>2</v>
          </cell>
          <cell r="CK70">
            <v>2</v>
          </cell>
          <cell r="CL70">
            <v>2</v>
          </cell>
          <cell r="CM70">
            <v>2</v>
          </cell>
          <cell r="CN70">
            <v>2</v>
          </cell>
          <cell r="CO70">
            <v>2</v>
          </cell>
          <cell r="CP70">
            <v>2</v>
          </cell>
          <cell r="CQ70">
            <v>2</v>
          </cell>
          <cell r="CR70">
            <v>2</v>
          </cell>
          <cell r="EG70">
            <v>3</v>
          </cell>
          <cell r="EH70">
            <v>3</v>
          </cell>
          <cell r="FD70">
            <v>9</v>
          </cell>
          <cell r="FE70">
            <v>60</v>
          </cell>
          <cell r="FF70">
            <v>11</v>
          </cell>
          <cell r="FG70">
            <v>0</v>
          </cell>
          <cell r="FH70">
            <v>8</v>
          </cell>
          <cell r="FI70">
            <v>8</v>
          </cell>
          <cell r="FJ70">
            <v>25</v>
          </cell>
          <cell r="FK70">
            <v>17</v>
          </cell>
          <cell r="FL70">
            <v>16</v>
          </cell>
          <cell r="FM70">
            <v>1</v>
          </cell>
          <cell r="FN70" t="str">
            <v>1</v>
          </cell>
          <cell r="FO70" t="str">
            <v>0</v>
          </cell>
          <cell r="FP70">
            <v>1</v>
          </cell>
          <cell r="FQ70" t="str">
            <v>21</v>
          </cell>
        </row>
        <row r="71">
          <cell r="F71" t="str">
            <v>안대홍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 t="str">
            <v>(5일)</v>
          </cell>
          <cell r="AX71">
            <v>1</v>
          </cell>
          <cell r="AY71">
            <v>1</v>
          </cell>
          <cell r="AZ71" t="str">
            <v>(2일)</v>
          </cell>
          <cell r="CB71">
            <v>1</v>
          </cell>
          <cell r="CC71">
            <v>1</v>
          </cell>
          <cell r="CD71">
            <v>1</v>
          </cell>
          <cell r="CE71" t="str">
            <v>(2일)</v>
          </cell>
          <cell r="CW71">
            <v>2</v>
          </cell>
          <cell r="CX71">
            <v>2</v>
          </cell>
          <cell r="DS71">
            <v>3</v>
          </cell>
          <cell r="DT71">
            <v>3</v>
          </cell>
          <cell r="EM71">
            <v>2</v>
          </cell>
          <cell r="EN71">
            <v>2</v>
          </cell>
          <cell r="FD71">
            <v>16</v>
          </cell>
          <cell r="FE71">
            <v>5</v>
          </cell>
          <cell r="FF71">
            <v>2</v>
          </cell>
          <cell r="FG71">
            <v>9</v>
          </cell>
          <cell r="FH71">
            <v>4</v>
          </cell>
          <cell r="FI71">
            <v>13</v>
          </cell>
          <cell r="FJ71">
            <v>24</v>
          </cell>
          <cell r="FK71">
            <v>11</v>
          </cell>
          <cell r="FL71">
            <v>16</v>
          </cell>
          <cell r="FM71">
            <v>-5</v>
          </cell>
          <cell r="FN71" t="str">
            <v>0</v>
          </cell>
          <cell r="FO71" t="str">
            <v>0</v>
          </cell>
          <cell r="FP71">
            <v>0</v>
          </cell>
          <cell r="FQ71" t="str">
            <v>21</v>
          </cell>
        </row>
        <row r="72">
          <cell r="F72" t="str">
            <v>유병기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 t="str">
            <v>(4일)</v>
          </cell>
          <cell r="CP72">
            <v>1</v>
          </cell>
          <cell r="CQ72">
            <v>1</v>
          </cell>
          <cell r="CR72">
            <v>1</v>
          </cell>
          <cell r="CS72" t="str">
            <v>(2일)</v>
          </cell>
          <cell r="EE72">
            <v>3</v>
          </cell>
          <cell r="EF72">
            <v>3</v>
          </cell>
          <cell r="EG72">
            <v>1</v>
          </cell>
          <cell r="EH72" t="str">
            <v>(1일)</v>
          </cell>
          <cell r="FD72">
            <v>11</v>
          </cell>
          <cell r="FE72">
            <v>0</v>
          </cell>
          <cell r="FF72">
            <v>4</v>
          </cell>
          <cell r="FG72">
            <v>7</v>
          </cell>
          <cell r="FH72">
            <v>1</v>
          </cell>
          <cell r="FI72">
            <v>8</v>
          </cell>
          <cell r="FJ72">
            <v>25</v>
          </cell>
          <cell r="FK72">
            <v>17</v>
          </cell>
          <cell r="FL72">
            <v>16</v>
          </cell>
          <cell r="FM72">
            <v>1</v>
          </cell>
          <cell r="FN72" t="str">
            <v>1</v>
          </cell>
          <cell r="FO72" t="str">
            <v>1</v>
          </cell>
          <cell r="FP72">
            <v>2</v>
          </cell>
          <cell r="FQ72" t="str">
            <v>21</v>
          </cell>
        </row>
        <row r="73">
          <cell r="F73" t="str">
            <v>윤흥수</v>
          </cell>
          <cell r="N73">
            <v>3</v>
          </cell>
          <cell r="O73">
            <v>3</v>
          </cell>
          <cell r="P73">
            <v>3</v>
          </cell>
          <cell r="Q73">
            <v>3</v>
          </cell>
          <cell r="R73">
            <v>3</v>
          </cell>
          <cell r="S73">
            <v>3</v>
          </cell>
          <cell r="EE73">
            <v>3</v>
          </cell>
          <cell r="EF73">
            <v>3</v>
          </cell>
          <cell r="FD73">
            <v>6</v>
          </cell>
          <cell r="FE73">
            <v>0</v>
          </cell>
          <cell r="FF73">
            <v>8</v>
          </cell>
          <cell r="FG73">
            <v>0</v>
          </cell>
          <cell r="FH73">
            <v>5</v>
          </cell>
          <cell r="FI73">
            <v>5</v>
          </cell>
          <cell r="FJ73">
            <v>25</v>
          </cell>
          <cell r="FK73">
            <v>20</v>
          </cell>
          <cell r="FL73">
            <v>16</v>
          </cell>
          <cell r="FM73">
            <v>4</v>
          </cell>
          <cell r="FN73" t="str">
            <v>1</v>
          </cell>
          <cell r="FO73" t="str">
            <v>1</v>
          </cell>
          <cell r="FP73">
            <v>2</v>
          </cell>
          <cell r="FQ73" t="str">
            <v>21</v>
          </cell>
        </row>
        <row r="74">
          <cell r="F74" t="str">
            <v>이상용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  <cell r="AM74">
            <v>1</v>
          </cell>
          <cell r="AN74">
            <v>1</v>
          </cell>
          <cell r="AO74" t="str">
            <v>(5일)</v>
          </cell>
          <cell r="CM74">
            <v>1</v>
          </cell>
          <cell r="CN74">
            <v>1</v>
          </cell>
          <cell r="CO74">
            <v>1</v>
          </cell>
          <cell r="CP74" t="str">
            <v>(3일)</v>
          </cell>
          <cell r="DV74">
            <v>3</v>
          </cell>
          <cell r="DW74">
            <v>3</v>
          </cell>
          <cell r="FD74">
            <v>12</v>
          </cell>
          <cell r="FE74">
            <v>0</v>
          </cell>
          <cell r="FF74">
            <v>2</v>
          </cell>
          <cell r="FG74">
            <v>8</v>
          </cell>
          <cell r="FH74">
            <v>2</v>
          </cell>
          <cell r="FI74">
            <v>10</v>
          </cell>
          <cell r="FJ74">
            <v>24</v>
          </cell>
          <cell r="FK74">
            <v>14</v>
          </cell>
          <cell r="FL74">
            <v>16</v>
          </cell>
          <cell r="FM74">
            <v>-2</v>
          </cell>
          <cell r="FN74" t="str">
            <v>0</v>
          </cell>
          <cell r="FO74" t="str">
            <v>1</v>
          </cell>
          <cell r="FP74">
            <v>1</v>
          </cell>
          <cell r="FQ74" t="str">
            <v>21</v>
          </cell>
        </row>
        <row r="75">
          <cell r="F75" t="str">
            <v>정일영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 t="str">
            <v>(2일)</v>
          </cell>
          <cell r="CW75">
            <v>1</v>
          </cell>
          <cell r="CX75">
            <v>1</v>
          </cell>
          <cell r="CY75">
            <v>1</v>
          </cell>
          <cell r="CZ75" t="str">
            <v>(2일)</v>
          </cell>
          <cell r="EC75">
            <v>3</v>
          </cell>
          <cell r="ED75">
            <v>3</v>
          </cell>
          <cell r="FD75">
            <v>17</v>
          </cell>
          <cell r="FE75">
            <v>0</v>
          </cell>
          <cell r="FF75">
            <v>11</v>
          </cell>
          <cell r="FG75">
            <v>4</v>
          </cell>
          <cell r="FH75">
            <v>5.5</v>
          </cell>
          <cell r="FI75">
            <v>9.5</v>
          </cell>
          <cell r="FJ75">
            <v>24</v>
          </cell>
          <cell r="FK75">
            <v>14.5</v>
          </cell>
          <cell r="FL75">
            <v>16</v>
          </cell>
          <cell r="FM75">
            <v>-1.5</v>
          </cell>
          <cell r="FN75" t="str">
            <v>0</v>
          </cell>
          <cell r="FO75" t="str">
            <v>1</v>
          </cell>
          <cell r="FP75">
            <v>1</v>
          </cell>
          <cell r="FQ75" t="str">
            <v>21</v>
          </cell>
        </row>
        <row r="76">
          <cell r="F76" t="str">
            <v>정판열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 t="str">
            <v>(5일)</v>
          </cell>
          <cell r="CT76">
            <v>1</v>
          </cell>
          <cell r="CU76">
            <v>1</v>
          </cell>
          <cell r="CV76">
            <v>1</v>
          </cell>
          <cell r="CW76" t="str">
            <v>(3일)</v>
          </cell>
          <cell r="DV76">
            <v>3</v>
          </cell>
          <cell r="DW76">
            <v>3</v>
          </cell>
          <cell r="FD76">
            <v>12</v>
          </cell>
          <cell r="FE76">
            <v>0</v>
          </cell>
          <cell r="FF76">
            <v>2</v>
          </cell>
          <cell r="FG76">
            <v>8</v>
          </cell>
          <cell r="FH76">
            <v>2.5</v>
          </cell>
          <cell r="FI76">
            <v>10.5</v>
          </cell>
          <cell r="FJ76">
            <v>24</v>
          </cell>
          <cell r="FK76">
            <v>13.5</v>
          </cell>
          <cell r="FL76">
            <v>16</v>
          </cell>
          <cell r="FM76">
            <v>-2.5</v>
          </cell>
          <cell r="FN76" t="str">
            <v>0</v>
          </cell>
          <cell r="FO76" t="str">
            <v>1</v>
          </cell>
          <cell r="FP76">
            <v>1</v>
          </cell>
          <cell r="FQ76" t="str">
            <v>21</v>
          </cell>
        </row>
        <row r="77">
          <cell r="F77" t="str">
            <v>방갑문</v>
          </cell>
          <cell r="CF77">
            <v>1</v>
          </cell>
          <cell r="CG77">
            <v>1</v>
          </cell>
          <cell r="CH77">
            <v>1</v>
          </cell>
          <cell r="CI77" t="str">
            <v>(3일)</v>
          </cell>
          <cell r="EG77">
            <v>3</v>
          </cell>
          <cell r="EH77">
            <v>3</v>
          </cell>
          <cell r="FD77">
            <v>12</v>
          </cell>
          <cell r="FE77">
            <v>0</v>
          </cell>
          <cell r="FF77">
            <v>2</v>
          </cell>
          <cell r="FG77">
            <v>3</v>
          </cell>
          <cell r="FH77">
            <v>7</v>
          </cell>
          <cell r="FI77">
            <v>10</v>
          </cell>
          <cell r="FJ77">
            <v>25</v>
          </cell>
          <cell r="FK77">
            <v>15</v>
          </cell>
          <cell r="FL77">
            <v>16</v>
          </cell>
          <cell r="FM77">
            <v>-1</v>
          </cell>
          <cell r="FN77" t="str">
            <v>0</v>
          </cell>
          <cell r="FO77" t="str">
            <v>1</v>
          </cell>
          <cell r="FP77">
            <v>1</v>
          </cell>
          <cell r="FQ77" t="str">
            <v>21</v>
          </cell>
        </row>
        <row r="78">
          <cell r="F78" t="str">
            <v>유병윤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 t="str">
            <v>(5일)</v>
          </cell>
          <cell r="DX78">
            <v>3</v>
          </cell>
          <cell r="DY78">
            <v>3</v>
          </cell>
          <cell r="DZ78">
            <v>1</v>
          </cell>
          <cell r="EA78" t="str">
            <v>(1일)</v>
          </cell>
          <cell r="EP78">
            <v>1</v>
          </cell>
          <cell r="EQ78">
            <v>1</v>
          </cell>
          <cell r="ER78" t="str">
            <v>(1일)</v>
          </cell>
          <cell r="FD78">
            <v>10</v>
          </cell>
          <cell r="FE78">
            <v>0</v>
          </cell>
          <cell r="FF78">
            <v>2</v>
          </cell>
          <cell r="FG78">
            <v>7</v>
          </cell>
          <cell r="FH78">
            <v>1</v>
          </cell>
          <cell r="FI78">
            <v>8</v>
          </cell>
          <cell r="FJ78">
            <v>24</v>
          </cell>
          <cell r="FK78">
            <v>16</v>
          </cell>
          <cell r="FL78">
            <v>16</v>
          </cell>
          <cell r="FM78">
            <v>0</v>
          </cell>
          <cell r="FN78" t="str">
            <v>0</v>
          </cell>
          <cell r="FO78" t="str">
            <v>1</v>
          </cell>
          <cell r="FP78">
            <v>1</v>
          </cell>
          <cell r="FQ78" t="str">
            <v>21</v>
          </cell>
        </row>
        <row r="79">
          <cell r="F79" t="str">
            <v>김종광</v>
          </cell>
          <cell r="CM79">
            <v>1</v>
          </cell>
          <cell r="CN79">
            <v>1</v>
          </cell>
          <cell r="CO79">
            <v>1</v>
          </cell>
          <cell r="CP79" t="str">
            <v>(3일)</v>
          </cell>
          <cell r="DV79">
            <v>3</v>
          </cell>
          <cell r="DW79">
            <v>3</v>
          </cell>
          <cell r="FD79">
            <v>19</v>
          </cell>
          <cell r="FE79">
            <v>0</v>
          </cell>
          <cell r="FF79">
            <v>2</v>
          </cell>
          <cell r="FG79">
            <v>3</v>
          </cell>
          <cell r="FH79">
            <v>11</v>
          </cell>
          <cell r="FI79">
            <v>14</v>
          </cell>
          <cell r="FJ79">
            <v>24</v>
          </cell>
          <cell r="FK79">
            <v>10</v>
          </cell>
          <cell r="FL79">
            <v>16</v>
          </cell>
          <cell r="FM79">
            <v>-6</v>
          </cell>
          <cell r="FN79" t="str">
            <v>0</v>
          </cell>
          <cell r="FO79" t="str">
            <v>1</v>
          </cell>
          <cell r="FP79">
            <v>1</v>
          </cell>
          <cell r="FQ79" t="str">
            <v>21</v>
          </cell>
        </row>
        <row r="80">
          <cell r="F80" t="str">
            <v>박재선</v>
          </cell>
          <cell r="BY80">
            <v>1</v>
          </cell>
          <cell r="BZ80">
            <v>3</v>
          </cell>
          <cell r="CA80" t="str">
            <v>(1일)</v>
          </cell>
          <cell r="CW80">
            <v>1</v>
          </cell>
          <cell r="CX80">
            <v>1</v>
          </cell>
          <cell r="CY80">
            <v>1</v>
          </cell>
          <cell r="CZ80" t="str">
            <v>(2일)</v>
          </cell>
          <cell r="DV80">
            <v>3</v>
          </cell>
          <cell r="DW80">
            <v>3</v>
          </cell>
          <cell r="FD80">
            <v>9</v>
          </cell>
          <cell r="FE80">
            <v>0</v>
          </cell>
          <cell r="FF80">
            <v>3</v>
          </cell>
          <cell r="FG80">
            <v>3</v>
          </cell>
          <cell r="FH80">
            <v>5</v>
          </cell>
          <cell r="FI80">
            <v>8</v>
          </cell>
          <cell r="FJ80">
            <v>24</v>
          </cell>
          <cell r="FK80">
            <v>16</v>
          </cell>
          <cell r="FL80">
            <v>16</v>
          </cell>
          <cell r="FM80">
            <v>0</v>
          </cell>
          <cell r="FN80" t="str">
            <v>0</v>
          </cell>
          <cell r="FO80" t="str">
            <v>1</v>
          </cell>
          <cell r="FP80">
            <v>1</v>
          </cell>
          <cell r="FQ80" t="str">
            <v>21</v>
          </cell>
        </row>
        <row r="81">
          <cell r="F81" t="str">
            <v>백승현</v>
          </cell>
          <cell r="AR81">
            <v>1</v>
          </cell>
          <cell r="AS81">
            <v>1</v>
          </cell>
          <cell r="AT81">
            <v>1</v>
          </cell>
          <cell r="AU81" t="str">
            <v>(3일)</v>
          </cell>
          <cell r="CM81">
            <v>1</v>
          </cell>
          <cell r="CN81">
            <v>1</v>
          </cell>
          <cell r="CO81">
            <v>1</v>
          </cell>
          <cell r="CP81" t="str">
            <v>(3일)</v>
          </cell>
          <cell r="EE81">
            <v>3</v>
          </cell>
          <cell r="EF81">
            <v>3</v>
          </cell>
          <cell r="FD81">
            <v>15</v>
          </cell>
          <cell r="FE81">
            <v>1</v>
          </cell>
          <cell r="FF81">
            <v>2</v>
          </cell>
          <cell r="FG81">
            <v>3</v>
          </cell>
          <cell r="FH81">
            <v>7</v>
          </cell>
          <cell r="FI81">
            <v>10</v>
          </cell>
          <cell r="FJ81">
            <v>23</v>
          </cell>
          <cell r="FK81">
            <v>13</v>
          </cell>
          <cell r="FL81">
            <v>16</v>
          </cell>
          <cell r="FM81">
            <v>-3</v>
          </cell>
          <cell r="FN81" t="str">
            <v>0</v>
          </cell>
          <cell r="FO81" t="str">
            <v>0</v>
          </cell>
          <cell r="FP81">
            <v>0</v>
          </cell>
          <cell r="FQ81" t="str">
            <v>21</v>
          </cell>
        </row>
        <row r="82">
          <cell r="F82" t="str">
            <v>서윤상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 t="str">
            <v>(5일)</v>
          </cell>
          <cell r="CW82">
            <v>1</v>
          </cell>
          <cell r="CX82">
            <v>1</v>
          </cell>
          <cell r="CY82">
            <v>1</v>
          </cell>
          <cell r="CZ82" t="str">
            <v>(2일)</v>
          </cell>
          <cell r="EE82">
            <v>3</v>
          </cell>
          <cell r="EF82">
            <v>3</v>
          </cell>
          <cell r="FD82">
            <v>12</v>
          </cell>
          <cell r="FE82">
            <v>0</v>
          </cell>
          <cell r="FF82">
            <v>2</v>
          </cell>
          <cell r="FG82">
            <v>7</v>
          </cell>
          <cell r="FH82">
            <v>3</v>
          </cell>
          <cell r="FI82">
            <v>10</v>
          </cell>
          <cell r="FJ82">
            <v>25</v>
          </cell>
          <cell r="FK82">
            <v>15</v>
          </cell>
          <cell r="FL82">
            <v>16</v>
          </cell>
          <cell r="FM82">
            <v>-1</v>
          </cell>
          <cell r="FN82" t="str">
            <v>0</v>
          </cell>
          <cell r="FO82" t="str">
            <v>1</v>
          </cell>
          <cell r="FP82">
            <v>1</v>
          </cell>
          <cell r="FQ82" t="str">
            <v>21</v>
          </cell>
        </row>
        <row r="83">
          <cell r="F83" t="str">
            <v>손은경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 t="str">
            <v>(5일)</v>
          </cell>
          <cell r="AT83">
            <v>1</v>
          </cell>
          <cell r="AU83" t="str">
            <v>(1일)</v>
          </cell>
          <cell r="AY83" t="str">
            <v>6시간</v>
          </cell>
          <cell r="CG83" t="str">
            <v>5시간</v>
          </cell>
          <cell r="CP83">
            <v>1</v>
          </cell>
          <cell r="CQ83">
            <v>1</v>
          </cell>
          <cell r="CR83">
            <v>1</v>
          </cell>
          <cell r="CS83" t="str">
            <v>(2일)</v>
          </cell>
          <cell r="CV83">
            <v>3</v>
          </cell>
          <cell r="DQ83">
            <v>3</v>
          </cell>
          <cell r="DR83">
            <v>3</v>
          </cell>
          <cell r="ER83">
            <v>2</v>
          </cell>
          <cell r="FD83">
            <v>13</v>
          </cell>
          <cell r="FE83">
            <v>1</v>
          </cell>
          <cell r="FF83">
            <v>13</v>
          </cell>
          <cell r="FG83">
            <v>9</v>
          </cell>
          <cell r="FH83">
            <v>3</v>
          </cell>
          <cell r="FI83">
            <v>12</v>
          </cell>
          <cell r="FJ83">
            <v>23</v>
          </cell>
          <cell r="FK83">
            <v>11</v>
          </cell>
          <cell r="FL83">
            <v>16</v>
          </cell>
          <cell r="FM83">
            <v>-5</v>
          </cell>
          <cell r="FN83" t="str">
            <v>0</v>
          </cell>
          <cell r="FO83" t="str">
            <v>0</v>
          </cell>
          <cell r="FP83">
            <v>0</v>
          </cell>
          <cell r="FQ83" t="str">
            <v>21</v>
          </cell>
        </row>
        <row r="84">
          <cell r="F84" t="str">
            <v>이정섭</v>
          </cell>
          <cell r="CF84">
            <v>1</v>
          </cell>
          <cell r="CG84">
            <v>1</v>
          </cell>
          <cell r="CH84">
            <v>1</v>
          </cell>
          <cell r="CI84" t="str">
            <v>(2일)</v>
          </cell>
          <cell r="FD84">
            <v>13</v>
          </cell>
          <cell r="FE84">
            <v>0</v>
          </cell>
          <cell r="FF84">
            <v>0</v>
          </cell>
          <cell r="FG84">
            <v>2</v>
          </cell>
          <cell r="FH84">
            <v>9</v>
          </cell>
          <cell r="FI84">
            <v>11</v>
          </cell>
          <cell r="FJ84">
            <v>25</v>
          </cell>
          <cell r="FK84">
            <v>14</v>
          </cell>
          <cell r="FL84">
            <v>16</v>
          </cell>
          <cell r="FM84">
            <v>-2</v>
          </cell>
          <cell r="FN84" t="str">
            <v>0</v>
          </cell>
          <cell r="FO84" t="str">
            <v>1</v>
          </cell>
          <cell r="FP84">
            <v>1</v>
          </cell>
          <cell r="FQ84" t="str">
            <v>21</v>
          </cell>
        </row>
        <row r="85">
          <cell r="F85" t="str">
            <v>이지혜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 t="str">
            <v>(5일)</v>
          </cell>
          <cell r="BZ85">
            <v>1</v>
          </cell>
          <cell r="CA85">
            <v>1</v>
          </cell>
          <cell r="CB85">
            <v>1</v>
          </cell>
          <cell r="CC85" t="str">
            <v>(3일)</v>
          </cell>
          <cell r="DT85">
            <v>1</v>
          </cell>
          <cell r="DU85">
            <v>1</v>
          </cell>
          <cell r="EC85">
            <v>3</v>
          </cell>
          <cell r="ED85">
            <v>3</v>
          </cell>
          <cell r="FD85">
            <v>31</v>
          </cell>
          <cell r="FE85">
            <v>0</v>
          </cell>
          <cell r="FF85">
            <v>23</v>
          </cell>
          <cell r="FG85">
            <v>8</v>
          </cell>
          <cell r="FH85">
            <v>5</v>
          </cell>
          <cell r="FI85">
            <v>13</v>
          </cell>
          <cell r="FJ85">
            <v>19</v>
          </cell>
          <cell r="FK85">
            <v>6</v>
          </cell>
          <cell r="FL85">
            <v>16</v>
          </cell>
          <cell r="FM85">
            <v>-10</v>
          </cell>
          <cell r="FN85" t="str">
            <v>0</v>
          </cell>
          <cell r="FO85" t="str">
            <v>1</v>
          </cell>
          <cell r="FP85">
            <v>1</v>
          </cell>
          <cell r="FQ85">
            <v>20</v>
          </cell>
        </row>
        <row r="86">
          <cell r="F86" t="str">
            <v>반성곤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 t="str">
            <v>(5일)</v>
          </cell>
          <cell r="CM86">
            <v>1</v>
          </cell>
          <cell r="CN86">
            <v>1</v>
          </cell>
          <cell r="CO86">
            <v>1</v>
          </cell>
          <cell r="CP86" t="str">
            <v>(3일)</v>
          </cell>
          <cell r="DV86">
            <v>3</v>
          </cell>
          <cell r="DW86">
            <v>3</v>
          </cell>
          <cell r="FD86">
            <v>13</v>
          </cell>
          <cell r="FE86">
            <v>0</v>
          </cell>
          <cell r="FF86">
            <v>3</v>
          </cell>
          <cell r="FG86">
            <v>8</v>
          </cell>
          <cell r="FH86">
            <v>2.5</v>
          </cell>
          <cell r="FI86">
            <v>10.5</v>
          </cell>
          <cell r="FJ86">
            <v>24</v>
          </cell>
          <cell r="FK86">
            <v>13.5</v>
          </cell>
          <cell r="FL86">
            <v>16</v>
          </cell>
          <cell r="FM86">
            <v>-2.5</v>
          </cell>
          <cell r="FN86" t="str">
            <v>0</v>
          </cell>
          <cell r="FO86" t="str">
            <v>1</v>
          </cell>
          <cell r="FP86">
            <v>1</v>
          </cell>
          <cell r="FQ86" t="str">
            <v>21</v>
          </cell>
        </row>
        <row r="87">
          <cell r="F87" t="str">
            <v>장은우</v>
          </cell>
          <cell r="DX87">
            <v>3</v>
          </cell>
          <cell r="DY87">
            <v>3</v>
          </cell>
          <cell r="DZ87">
            <v>3</v>
          </cell>
          <cell r="EL87">
            <v>3</v>
          </cell>
          <cell r="EM87">
            <v>3</v>
          </cell>
          <cell r="EN87">
            <v>3</v>
          </cell>
          <cell r="FD87">
            <v>6</v>
          </cell>
          <cell r="FE87">
            <v>0</v>
          </cell>
          <cell r="FF87">
            <v>6</v>
          </cell>
          <cell r="FH87">
            <v>5</v>
          </cell>
          <cell r="FI87">
            <v>5</v>
          </cell>
          <cell r="FJ87">
            <v>24</v>
          </cell>
          <cell r="FK87">
            <v>19</v>
          </cell>
          <cell r="FL87">
            <v>16</v>
          </cell>
          <cell r="FM87">
            <v>3</v>
          </cell>
          <cell r="FN87" t="str">
            <v>1</v>
          </cell>
          <cell r="FO87" t="str">
            <v>1</v>
          </cell>
          <cell r="FP87">
            <v>2</v>
          </cell>
          <cell r="FQ87" t="str">
            <v>21</v>
          </cell>
        </row>
        <row r="88">
          <cell r="F88" t="str">
            <v>구승환</v>
          </cell>
          <cell r="BU88">
            <v>1</v>
          </cell>
          <cell r="BV88">
            <v>1</v>
          </cell>
          <cell r="BW88">
            <v>1</v>
          </cell>
          <cell r="BX88" t="str">
            <v>(2일)</v>
          </cell>
          <cell r="DV88">
            <v>3</v>
          </cell>
          <cell r="DW88">
            <v>3</v>
          </cell>
          <cell r="FD88">
            <v>9</v>
          </cell>
          <cell r="FE88">
            <v>0</v>
          </cell>
          <cell r="FF88">
            <v>4</v>
          </cell>
          <cell r="FG88">
            <v>2</v>
          </cell>
          <cell r="FH88">
            <v>5</v>
          </cell>
          <cell r="FI88">
            <v>7</v>
          </cell>
          <cell r="FJ88">
            <v>25</v>
          </cell>
          <cell r="FK88">
            <v>18</v>
          </cell>
          <cell r="FL88">
            <v>16</v>
          </cell>
          <cell r="FM88">
            <v>2</v>
          </cell>
          <cell r="FN88" t="str">
            <v>1</v>
          </cell>
          <cell r="FO88" t="str">
            <v>1</v>
          </cell>
          <cell r="FP88">
            <v>2</v>
          </cell>
          <cell r="FQ88" t="str">
            <v>21</v>
          </cell>
        </row>
        <row r="89">
          <cell r="F89" t="str">
            <v>김병윤</v>
          </cell>
          <cell r="G89">
            <v>1</v>
          </cell>
          <cell r="H89">
            <v>1</v>
          </cell>
          <cell r="I89">
            <v>1</v>
          </cell>
          <cell r="J89">
            <v>1</v>
          </cell>
          <cell r="K89">
            <v>1</v>
          </cell>
          <cell r="L89">
            <v>1</v>
          </cell>
          <cell r="M89" t="str">
            <v>(3일)</v>
          </cell>
          <cell r="CF89">
            <v>1</v>
          </cell>
          <cell r="CG89">
            <v>1</v>
          </cell>
          <cell r="CH89">
            <v>1</v>
          </cell>
          <cell r="CI89" t="str">
            <v>(2일)</v>
          </cell>
          <cell r="DR89">
            <v>3</v>
          </cell>
          <cell r="DS89">
            <v>3</v>
          </cell>
          <cell r="FD89">
            <v>11</v>
          </cell>
          <cell r="FE89">
            <v>0</v>
          </cell>
          <cell r="FF89">
            <v>2</v>
          </cell>
          <cell r="FG89">
            <v>5</v>
          </cell>
          <cell r="FH89">
            <v>2</v>
          </cell>
          <cell r="FI89">
            <v>7</v>
          </cell>
          <cell r="FJ89">
            <v>24</v>
          </cell>
          <cell r="FK89">
            <v>17</v>
          </cell>
          <cell r="FL89">
            <v>16</v>
          </cell>
          <cell r="FM89">
            <v>1</v>
          </cell>
          <cell r="FN89" t="str">
            <v>1</v>
          </cell>
          <cell r="FO89" t="str">
            <v>1</v>
          </cell>
          <cell r="FP89">
            <v>2</v>
          </cell>
          <cell r="FQ89" t="str">
            <v>21</v>
          </cell>
        </row>
        <row r="90">
          <cell r="F90" t="str">
            <v>문성평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  <cell r="AM90">
            <v>1</v>
          </cell>
          <cell r="AN90">
            <v>1</v>
          </cell>
          <cell r="AO90" t="str">
            <v>(5일)</v>
          </cell>
          <cell r="CB90">
            <v>3</v>
          </cell>
          <cell r="CC90">
            <v>3</v>
          </cell>
          <cell r="CD90">
            <v>3</v>
          </cell>
          <cell r="CE90">
            <v>3</v>
          </cell>
          <cell r="CF90">
            <v>3</v>
          </cell>
          <cell r="CG90">
            <v>3</v>
          </cell>
          <cell r="CH90">
            <v>3</v>
          </cell>
          <cell r="DV90">
            <v>3</v>
          </cell>
          <cell r="DW90">
            <v>3</v>
          </cell>
          <cell r="FD90">
            <v>11</v>
          </cell>
          <cell r="FE90">
            <v>0</v>
          </cell>
          <cell r="FF90">
            <v>10</v>
          </cell>
          <cell r="FG90">
            <v>5</v>
          </cell>
          <cell r="FH90">
            <v>5</v>
          </cell>
          <cell r="FI90">
            <v>10</v>
          </cell>
          <cell r="FJ90">
            <v>23</v>
          </cell>
          <cell r="FK90">
            <v>13</v>
          </cell>
          <cell r="FL90">
            <v>16</v>
          </cell>
          <cell r="FM90">
            <v>-3</v>
          </cell>
          <cell r="FN90" t="str">
            <v>0</v>
          </cell>
          <cell r="FO90" t="str">
            <v>1</v>
          </cell>
          <cell r="FP90">
            <v>1</v>
          </cell>
          <cell r="FQ90" t="str">
            <v>21</v>
          </cell>
        </row>
        <row r="91">
          <cell r="F91" t="str">
            <v>박상석</v>
          </cell>
          <cell r="BJ91">
            <v>3</v>
          </cell>
          <cell r="BZ91">
            <v>3</v>
          </cell>
          <cell r="CP91">
            <v>1</v>
          </cell>
          <cell r="CQ91">
            <v>1</v>
          </cell>
          <cell r="CR91">
            <v>1</v>
          </cell>
          <cell r="CS91" t="str">
            <v>(2일)</v>
          </cell>
          <cell r="DV91">
            <v>3</v>
          </cell>
          <cell r="FD91">
            <v>10</v>
          </cell>
          <cell r="FE91">
            <v>0</v>
          </cell>
          <cell r="FF91">
            <v>3</v>
          </cell>
          <cell r="FG91">
            <v>2</v>
          </cell>
          <cell r="FH91">
            <v>1</v>
          </cell>
          <cell r="FI91">
            <v>3</v>
          </cell>
          <cell r="FJ91">
            <v>24</v>
          </cell>
          <cell r="FK91">
            <v>21</v>
          </cell>
          <cell r="FL91">
            <v>16</v>
          </cell>
          <cell r="FM91">
            <v>5</v>
          </cell>
          <cell r="FN91" t="str">
            <v>1</v>
          </cell>
          <cell r="FO91" t="str">
            <v>1</v>
          </cell>
          <cell r="FP91">
            <v>2</v>
          </cell>
          <cell r="FQ91" t="str">
            <v>21</v>
          </cell>
        </row>
        <row r="92">
          <cell r="F92" t="str">
            <v>박성길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 t="str">
            <v>(4일)</v>
          </cell>
          <cell r="CP92">
            <v>1</v>
          </cell>
          <cell r="CQ92">
            <v>1</v>
          </cell>
          <cell r="CR92">
            <v>1</v>
          </cell>
          <cell r="CS92" t="str">
            <v>(3일)</v>
          </cell>
          <cell r="EI92">
            <v>1</v>
          </cell>
          <cell r="EJ92">
            <v>1</v>
          </cell>
          <cell r="EK92" t="str">
            <v>(2일)</v>
          </cell>
          <cell r="FD92">
            <v>13</v>
          </cell>
          <cell r="FE92">
            <v>0</v>
          </cell>
          <cell r="FF92">
            <v>0</v>
          </cell>
          <cell r="FG92">
            <v>9</v>
          </cell>
          <cell r="FH92">
            <v>1</v>
          </cell>
          <cell r="FI92">
            <v>10</v>
          </cell>
          <cell r="FJ92">
            <v>25</v>
          </cell>
          <cell r="FK92">
            <v>15</v>
          </cell>
          <cell r="FL92">
            <v>16</v>
          </cell>
          <cell r="FM92">
            <v>-1</v>
          </cell>
          <cell r="FN92" t="str">
            <v>0</v>
          </cell>
          <cell r="FO92" t="str">
            <v>1</v>
          </cell>
          <cell r="FP92">
            <v>1</v>
          </cell>
          <cell r="FQ92" t="str">
            <v>21</v>
          </cell>
        </row>
        <row r="93">
          <cell r="F93" t="str">
            <v>박욱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 t="str">
            <v>(4일)</v>
          </cell>
          <cell r="BZ93">
            <v>1</v>
          </cell>
          <cell r="CA93" t="str">
            <v>(1일)</v>
          </cell>
          <cell r="DV93">
            <v>3</v>
          </cell>
          <cell r="DW93">
            <v>3</v>
          </cell>
          <cell r="FD93">
            <v>10</v>
          </cell>
          <cell r="FE93">
            <v>0</v>
          </cell>
          <cell r="FF93">
            <v>2</v>
          </cell>
          <cell r="FG93">
            <v>5</v>
          </cell>
          <cell r="FH93">
            <v>2</v>
          </cell>
          <cell r="FI93">
            <v>7</v>
          </cell>
          <cell r="FJ93">
            <v>24</v>
          </cell>
          <cell r="FK93">
            <v>17</v>
          </cell>
          <cell r="FL93">
            <v>16</v>
          </cell>
          <cell r="FM93">
            <v>1</v>
          </cell>
          <cell r="FN93" t="str">
            <v>1</v>
          </cell>
          <cell r="FO93" t="str">
            <v>1</v>
          </cell>
          <cell r="FP93">
            <v>2</v>
          </cell>
          <cell r="FQ93" t="str">
            <v>21</v>
          </cell>
        </row>
        <row r="94">
          <cell r="F94" t="str">
            <v>박윤흥</v>
          </cell>
          <cell r="U94">
            <v>1</v>
          </cell>
          <cell r="V94">
            <v>1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 t="str">
            <v>(4일)</v>
          </cell>
          <cell r="CM94">
            <v>1</v>
          </cell>
          <cell r="CN94">
            <v>1</v>
          </cell>
          <cell r="CO94">
            <v>1</v>
          </cell>
          <cell r="CP94" t="str">
            <v>(3일)</v>
          </cell>
          <cell r="EC94">
            <v>3</v>
          </cell>
          <cell r="ED94">
            <v>3</v>
          </cell>
          <cell r="FD94">
            <v>12</v>
          </cell>
          <cell r="FE94">
            <v>0</v>
          </cell>
          <cell r="FF94">
            <v>10</v>
          </cell>
          <cell r="FG94">
            <v>7</v>
          </cell>
          <cell r="FH94">
            <v>3</v>
          </cell>
          <cell r="FI94">
            <v>10</v>
          </cell>
          <cell r="FJ94">
            <v>24</v>
          </cell>
          <cell r="FK94">
            <v>14</v>
          </cell>
          <cell r="FL94">
            <v>16</v>
          </cell>
          <cell r="FM94">
            <v>-2</v>
          </cell>
          <cell r="FN94" t="str">
            <v>0</v>
          </cell>
          <cell r="FO94" t="str">
            <v>1</v>
          </cell>
          <cell r="FP94">
            <v>1</v>
          </cell>
          <cell r="FQ94" t="str">
            <v>21</v>
          </cell>
        </row>
        <row r="95">
          <cell r="F95" t="str">
            <v>송선종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 t="str">
            <v>(5일)</v>
          </cell>
          <cell r="CI95">
            <v>1</v>
          </cell>
          <cell r="CJ95">
            <v>1</v>
          </cell>
          <cell r="CK95" t="str">
            <v>(2일)</v>
          </cell>
          <cell r="EE95">
            <v>3</v>
          </cell>
          <cell r="EF95">
            <v>3</v>
          </cell>
          <cell r="EG95">
            <v>1</v>
          </cell>
          <cell r="EH95" t="str">
            <v>(1일)</v>
          </cell>
          <cell r="FD95">
            <v>9</v>
          </cell>
          <cell r="FE95">
            <v>0</v>
          </cell>
          <cell r="FF95">
            <v>2</v>
          </cell>
          <cell r="FG95">
            <v>8</v>
          </cell>
          <cell r="FH95">
            <v>0</v>
          </cell>
          <cell r="FI95">
            <v>8</v>
          </cell>
          <cell r="FJ95">
            <v>24</v>
          </cell>
          <cell r="FK95">
            <v>16</v>
          </cell>
          <cell r="FL95">
            <v>16</v>
          </cell>
          <cell r="FM95">
            <v>0</v>
          </cell>
          <cell r="FN95" t="str">
            <v>0</v>
          </cell>
          <cell r="FO95" t="str">
            <v>1</v>
          </cell>
          <cell r="FP95">
            <v>1</v>
          </cell>
          <cell r="FQ95" t="str">
            <v>21</v>
          </cell>
        </row>
        <row r="96">
          <cell r="F96" t="str">
            <v>이재철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 t="str">
            <v>(5일)</v>
          </cell>
          <cell r="CM96">
            <v>1</v>
          </cell>
          <cell r="CN96">
            <v>1</v>
          </cell>
          <cell r="CO96">
            <v>1</v>
          </cell>
          <cell r="CP96" t="str">
            <v>(3일)</v>
          </cell>
          <cell r="EG96">
            <v>3</v>
          </cell>
          <cell r="EH96">
            <v>3</v>
          </cell>
          <cell r="FD96">
            <v>14</v>
          </cell>
          <cell r="FE96">
            <v>0</v>
          </cell>
          <cell r="FF96">
            <v>8</v>
          </cell>
          <cell r="FG96">
            <v>8</v>
          </cell>
          <cell r="FH96">
            <v>4</v>
          </cell>
          <cell r="FI96">
            <v>12</v>
          </cell>
          <cell r="FJ96">
            <v>25</v>
          </cell>
          <cell r="FK96">
            <v>13</v>
          </cell>
          <cell r="FL96">
            <v>16</v>
          </cell>
          <cell r="FM96">
            <v>-3</v>
          </cell>
          <cell r="FN96" t="str">
            <v>0</v>
          </cell>
          <cell r="FO96" t="str">
            <v>1</v>
          </cell>
          <cell r="FP96">
            <v>1</v>
          </cell>
          <cell r="FQ96" t="str">
            <v>21</v>
          </cell>
        </row>
        <row r="97">
          <cell r="F97" t="str">
            <v>임태순</v>
          </cell>
          <cell r="FD97">
            <v>1</v>
          </cell>
          <cell r="FE97">
            <v>0</v>
          </cell>
          <cell r="FF97">
            <v>0</v>
          </cell>
          <cell r="FH97">
            <v>0</v>
          </cell>
          <cell r="FI97">
            <v>0</v>
          </cell>
          <cell r="FJ97">
            <v>23</v>
          </cell>
          <cell r="FK97">
            <v>23</v>
          </cell>
          <cell r="FL97">
            <v>16</v>
          </cell>
          <cell r="FM97">
            <v>7</v>
          </cell>
          <cell r="FN97" t="str">
            <v>1</v>
          </cell>
          <cell r="FO97" t="str">
            <v>1</v>
          </cell>
          <cell r="FP97">
            <v>2</v>
          </cell>
          <cell r="FQ97" t="str">
            <v>21</v>
          </cell>
        </row>
        <row r="98">
          <cell r="F98" t="str">
            <v>장재학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 t="str">
            <v>(3일)</v>
          </cell>
          <cell r="BL98">
            <v>3</v>
          </cell>
          <cell r="BR98">
            <v>1</v>
          </cell>
          <cell r="BS98">
            <v>1</v>
          </cell>
          <cell r="BT98">
            <v>1</v>
          </cell>
          <cell r="BU98" t="str">
            <v>(2일)</v>
          </cell>
          <cell r="DX98">
            <v>3</v>
          </cell>
          <cell r="EN98">
            <v>3</v>
          </cell>
          <cell r="FD98">
            <v>10</v>
          </cell>
          <cell r="FE98">
            <v>0</v>
          </cell>
          <cell r="FF98">
            <v>10</v>
          </cell>
          <cell r="FG98">
            <v>5</v>
          </cell>
          <cell r="FH98">
            <v>0</v>
          </cell>
          <cell r="FI98">
            <v>5</v>
          </cell>
          <cell r="FJ98">
            <v>24</v>
          </cell>
          <cell r="FK98">
            <v>19</v>
          </cell>
          <cell r="FL98">
            <v>16</v>
          </cell>
          <cell r="FM98">
            <v>3</v>
          </cell>
          <cell r="FN98" t="str">
            <v>1</v>
          </cell>
          <cell r="FO98" t="str">
            <v>1</v>
          </cell>
          <cell r="FP98">
            <v>2</v>
          </cell>
          <cell r="FQ98" t="str">
            <v>21</v>
          </cell>
        </row>
        <row r="99">
          <cell r="F99" t="str">
            <v>장진욱</v>
          </cell>
          <cell r="AK99">
            <v>1</v>
          </cell>
          <cell r="AL99">
            <v>1</v>
          </cell>
          <cell r="AM99">
            <v>1</v>
          </cell>
          <cell r="AN99">
            <v>1</v>
          </cell>
          <cell r="AO99" t="str">
            <v>(4일)</v>
          </cell>
          <cell r="CI99">
            <v>1</v>
          </cell>
          <cell r="CJ99">
            <v>1</v>
          </cell>
          <cell r="CK99">
            <v>1</v>
          </cell>
          <cell r="CL99" t="str">
            <v>(2일)</v>
          </cell>
          <cell r="DZ99">
            <v>3</v>
          </cell>
          <cell r="EA99">
            <v>3</v>
          </cell>
          <cell r="FD99">
            <v>12</v>
          </cell>
          <cell r="FE99">
            <v>0</v>
          </cell>
          <cell r="FF99">
            <v>2</v>
          </cell>
          <cell r="FG99">
            <v>6</v>
          </cell>
          <cell r="FH99">
            <v>3.5</v>
          </cell>
          <cell r="FI99">
            <v>9.5</v>
          </cell>
          <cell r="FJ99">
            <v>23</v>
          </cell>
          <cell r="FK99">
            <v>13.5</v>
          </cell>
          <cell r="FL99">
            <v>16</v>
          </cell>
          <cell r="FM99">
            <v>-2.5</v>
          </cell>
          <cell r="FN99" t="str">
            <v>0</v>
          </cell>
          <cell r="FO99" t="str">
            <v>1</v>
          </cell>
          <cell r="FP99">
            <v>1</v>
          </cell>
          <cell r="FQ99" t="str">
            <v>21</v>
          </cell>
        </row>
        <row r="100">
          <cell r="F100" t="str">
            <v>전갑재</v>
          </cell>
          <cell r="G100">
            <v>1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1</v>
          </cell>
          <cell r="M100" t="str">
            <v>(5일)</v>
          </cell>
          <cell r="CB100">
            <v>1</v>
          </cell>
          <cell r="CC100">
            <v>1</v>
          </cell>
          <cell r="CD100">
            <v>1</v>
          </cell>
          <cell r="CE100" t="str">
            <v>(2일)</v>
          </cell>
          <cell r="EG100">
            <v>3</v>
          </cell>
          <cell r="EH100">
            <v>3</v>
          </cell>
          <cell r="FD100">
            <v>12</v>
          </cell>
          <cell r="FE100">
            <v>0</v>
          </cell>
          <cell r="FF100">
            <v>3</v>
          </cell>
          <cell r="FG100">
            <v>7</v>
          </cell>
          <cell r="FH100">
            <v>3</v>
          </cell>
          <cell r="FI100">
            <v>10</v>
          </cell>
          <cell r="FJ100">
            <v>25</v>
          </cell>
          <cell r="FK100">
            <v>15</v>
          </cell>
          <cell r="FL100">
            <v>16</v>
          </cell>
          <cell r="FM100">
            <v>-1</v>
          </cell>
          <cell r="FN100" t="str">
            <v>0</v>
          </cell>
          <cell r="FO100" t="str">
            <v>1</v>
          </cell>
          <cell r="FP100">
            <v>1</v>
          </cell>
          <cell r="FQ100" t="str">
            <v>21</v>
          </cell>
        </row>
        <row r="101">
          <cell r="F101" t="str">
            <v>최명숙</v>
          </cell>
          <cell r="CM101">
            <v>1</v>
          </cell>
          <cell r="CN101">
            <v>1</v>
          </cell>
          <cell r="CO101">
            <v>1</v>
          </cell>
          <cell r="CP101" t="str">
            <v>(3일)</v>
          </cell>
          <cell r="DQ101">
            <v>3</v>
          </cell>
          <cell r="DR101">
            <v>3</v>
          </cell>
          <cell r="FD101">
            <v>12</v>
          </cell>
          <cell r="FE101">
            <v>3</v>
          </cell>
          <cell r="FF101">
            <v>2</v>
          </cell>
          <cell r="FG101">
            <v>3</v>
          </cell>
          <cell r="FH101">
            <v>8</v>
          </cell>
          <cell r="FI101">
            <v>11</v>
          </cell>
          <cell r="FJ101">
            <v>24</v>
          </cell>
          <cell r="FK101">
            <v>13</v>
          </cell>
          <cell r="FL101">
            <v>16</v>
          </cell>
          <cell r="FM101">
            <v>-3</v>
          </cell>
          <cell r="FN101" t="str">
            <v>0</v>
          </cell>
          <cell r="FO101" t="str">
            <v>0</v>
          </cell>
          <cell r="FP101">
            <v>0</v>
          </cell>
          <cell r="FQ101" t="str">
            <v>21</v>
          </cell>
        </row>
        <row r="102">
          <cell r="F102" t="str">
            <v>강병도</v>
          </cell>
          <cell r="CW102">
            <v>1</v>
          </cell>
          <cell r="CX102">
            <v>1</v>
          </cell>
          <cell r="CY102">
            <v>1</v>
          </cell>
          <cell r="CZ102" t="str">
            <v>(2일)</v>
          </cell>
          <cell r="EG102">
            <v>3</v>
          </cell>
          <cell r="EH102">
            <v>3</v>
          </cell>
          <cell r="FD102">
            <v>9</v>
          </cell>
          <cell r="FE102">
            <v>0</v>
          </cell>
          <cell r="FF102">
            <v>2</v>
          </cell>
          <cell r="FG102">
            <v>2</v>
          </cell>
          <cell r="FH102">
            <v>5</v>
          </cell>
          <cell r="FI102">
            <v>7</v>
          </cell>
          <cell r="FJ102">
            <v>24</v>
          </cell>
          <cell r="FK102">
            <v>17</v>
          </cell>
          <cell r="FL102">
            <v>16</v>
          </cell>
          <cell r="FM102">
            <v>1</v>
          </cell>
          <cell r="FN102" t="str">
            <v>1</v>
          </cell>
          <cell r="FO102" t="str">
            <v>1</v>
          </cell>
          <cell r="FP102">
            <v>2</v>
          </cell>
          <cell r="FQ102" t="str">
            <v>21</v>
          </cell>
        </row>
        <row r="103">
          <cell r="F103" t="str">
            <v>김종재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M103">
            <v>1</v>
          </cell>
          <cell r="AN103">
            <v>1</v>
          </cell>
          <cell r="AO103" t="str">
            <v>(3일)</v>
          </cell>
          <cell r="BH103">
            <v>3</v>
          </cell>
          <cell r="CB103">
            <v>3</v>
          </cell>
          <cell r="EB103">
            <v>3</v>
          </cell>
          <cell r="EP103">
            <v>3</v>
          </cell>
          <cell r="FD103">
            <v>6</v>
          </cell>
          <cell r="FE103">
            <v>4</v>
          </cell>
          <cell r="FF103">
            <v>5</v>
          </cell>
          <cell r="FG103">
            <v>3</v>
          </cell>
          <cell r="FH103">
            <v>0</v>
          </cell>
          <cell r="FI103">
            <v>3</v>
          </cell>
          <cell r="FJ103">
            <v>25</v>
          </cell>
          <cell r="FK103">
            <v>22</v>
          </cell>
          <cell r="FL103">
            <v>16</v>
          </cell>
          <cell r="FM103">
            <v>6</v>
          </cell>
          <cell r="FN103" t="str">
            <v>1</v>
          </cell>
          <cell r="FO103" t="str">
            <v>0</v>
          </cell>
          <cell r="FP103">
            <v>1</v>
          </cell>
          <cell r="FQ103" t="str">
            <v>21</v>
          </cell>
        </row>
        <row r="104">
          <cell r="F104" t="str">
            <v>주기원</v>
          </cell>
          <cell r="BN104">
            <v>3</v>
          </cell>
          <cell r="CD104">
            <v>3</v>
          </cell>
          <cell r="DZ104">
            <v>3</v>
          </cell>
          <cell r="EL104">
            <v>3</v>
          </cell>
          <cell r="FD104">
            <v>6</v>
          </cell>
          <cell r="FE104">
            <v>0</v>
          </cell>
          <cell r="FF104">
            <v>12</v>
          </cell>
          <cell r="FH104">
            <v>5</v>
          </cell>
          <cell r="FI104">
            <v>5</v>
          </cell>
          <cell r="FJ104">
            <v>25</v>
          </cell>
          <cell r="FK104">
            <v>20</v>
          </cell>
          <cell r="FL104">
            <v>16</v>
          </cell>
          <cell r="FM104">
            <v>4</v>
          </cell>
          <cell r="FN104" t="str">
            <v>1</v>
          </cell>
          <cell r="FO104" t="str">
            <v>1</v>
          </cell>
          <cell r="FP104">
            <v>2</v>
          </cell>
          <cell r="FQ104" t="str">
            <v>21</v>
          </cell>
        </row>
        <row r="105">
          <cell r="F105" t="str">
            <v>강훈종</v>
          </cell>
          <cell r="U105">
            <v>1</v>
          </cell>
          <cell r="V105">
            <v>1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 t="str">
            <v>(4일)</v>
          </cell>
          <cell r="CM105">
            <v>1</v>
          </cell>
          <cell r="CN105">
            <v>1</v>
          </cell>
          <cell r="CO105">
            <v>1</v>
          </cell>
          <cell r="CP105" t="str">
            <v>(3일)</v>
          </cell>
          <cell r="EE105">
            <v>3</v>
          </cell>
          <cell r="EF105">
            <v>3</v>
          </cell>
          <cell r="FD105">
            <v>10</v>
          </cell>
          <cell r="FE105">
            <v>0</v>
          </cell>
          <cell r="FF105">
            <v>2</v>
          </cell>
          <cell r="FG105">
            <v>7</v>
          </cell>
          <cell r="FH105">
            <v>1</v>
          </cell>
          <cell r="FI105">
            <v>8</v>
          </cell>
          <cell r="FJ105">
            <v>25</v>
          </cell>
          <cell r="FK105">
            <v>17</v>
          </cell>
          <cell r="FL105">
            <v>16</v>
          </cell>
          <cell r="FM105">
            <v>1</v>
          </cell>
          <cell r="FN105" t="str">
            <v>1</v>
          </cell>
          <cell r="FO105" t="str">
            <v>1</v>
          </cell>
          <cell r="FP105">
            <v>2</v>
          </cell>
          <cell r="FQ105" t="str">
            <v>21</v>
          </cell>
        </row>
        <row r="106">
          <cell r="F106" t="str">
            <v>유문휘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  <cell r="AM106">
            <v>1</v>
          </cell>
          <cell r="AN106">
            <v>1</v>
          </cell>
          <cell r="AO106" t="str">
            <v>(5일)</v>
          </cell>
          <cell r="CI106">
            <v>1</v>
          </cell>
          <cell r="CJ106">
            <v>1</v>
          </cell>
          <cell r="CK106">
            <v>1</v>
          </cell>
          <cell r="CL106" t="str">
            <v>(2일)</v>
          </cell>
          <cell r="DQ106">
            <v>3</v>
          </cell>
          <cell r="DR106">
            <v>3</v>
          </cell>
          <cell r="FD106">
            <v>12</v>
          </cell>
          <cell r="FE106">
            <v>0</v>
          </cell>
          <cell r="FF106">
            <v>2</v>
          </cell>
          <cell r="FG106">
            <v>7</v>
          </cell>
          <cell r="FH106">
            <v>2</v>
          </cell>
          <cell r="FI106">
            <v>9</v>
          </cell>
          <cell r="FJ106">
            <v>25</v>
          </cell>
          <cell r="FK106">
            <v>16</v>
          </cell>
          <cell r="FL106">
            <v>16</v>
          </cell>
          <cell r="FM106">
            <v>0</v>
          </cell>
          <cell r="FN106" t="str">
            <v>0</v>
          </cell>
          <cell r="FO106" t="str">
            <v>1</v>
          </cell>
          <cell r="FP106">
            <v>1</v>
          </cell>
          <cell r="FQ106" t="str">
            <v>21</v>
          </cell>
        </row>
        <row r="107">
          <cell r="F107" t="str">
            <v>임인구</v>
          </cell>
          <cell r="CF107">
            <v>1</v>
          </cell>
          <cell r="CG107">
            <v>1</v>
          </cell>
          <cell r="CH107">
            <v>1</v>
          </cell>
          <cell r="CI107" t="str">
            <v>(3일)</v>
          </cell>
          <cell r="DV107">
            <v>3</v>
          </cell>
          <cell r="DW107">
            <v>3</v>
          </cell>
          <cell r="FD107">
            <v>12</v>
          </cell>
          <cell r="FE107">
            <v>0</v>
          </cell>
          <cell r="FF107">
            <v>9</v>
          </cell>
          <cell r="FG107">
            <v>3</v>
          </cell>
          <cell r="FH107">
            <v>7.5</v>
          </cell>
          <cell r="FI107">
            <v>10.5</v>
          </cell>
          <cell r="FJ107">
            <v>25</v>
          </cell>
          <cell r="FK107">
            <v>14.5</v>
          </cell>
          <cell r="FL107">
            <v>16</v>
          </cell>
          <cell r="FM107">
            <v>-1.5</v>
          </cell>
          <cell r="FN107" t="str">
            <v>0</v>
          </cell>
          <cell r="FO107" t="str">
            <v>1</v>
          </cell>
          <cell r="FP107">
            <v>1</v>
          </cell>
          <cell r="FQ107" t="str">
            <v>21</v>
          </cell>
        </row>
        <row r="108">
          <cell r="F108" t="str">
            <v>황형락</v>
          </cell>
          <cell r="CT108">
            <v>1</v>
          </cell>
          <cell r="CU108">
            <v>1</v>
          </cell>
          <cell r="CV108">
            <v>1</v>
          </cell>
          <cell r="CW108" t="str">
            <v>(3일)</v>
          </cell>
          <cell r="EC108">
            <v>3</v>
          </cell>
          <cell r="ED108">
            <v>3</v>
          </cell>
          <cell r="FD108">
            <v>12</v>
          </cell>
          <cell r="FE108">
            <v>0</v>
          </cell>
          <cell r="FF108">
            <v>9</v>
          </cell>
          <cell r="FG108">
            <v>3</v>
          </cell>
          <cell r="FH108">
            <v>8.5</v>
          </cell>
          <cell r="FI108">
            <v>11.5</v>
          </cell>
          <cell r="FJ108">
            <v>23</v>
          </cell>
          <cell r="FK108">
            <v>11.5</v>
          </cell>
          <cell r="FL108">
            <v>16</v>
          </cell>
          <cell r="FM108">
            <v>-4.5</v>
          </cell>
          <cell r="FN108" t="str">
            <v>0</v>
          </cell>
          <cell r="FO108" t="str">
            <v>1</v>
          </cell>
          <cell r="FP108">
            <v>1</v>
          </cell>
          <cell r="FQ108" t="str">
            <v>21</v>
          </cell>
        </row>
        <row r="109">
          <cell r="F109" t="str">
            <v>홍영화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 t="str">
            <v>(5일)</v>
          </cell>
          <cell r="CV109">
            <v>1</v>
          </cell>
          <cell r="CW109" t="str">
            <v>(1일)</v>
          </cell>
          <cell r="FD109">
            <v>16</v>
          </cell>
          <cell r="FE109">
            <v>0</v>
          </cell>
          <cell r="FF109">
            <v>0</v>
          </cell>
          <cell r="FG109">
            <v>6</v>
          </cell>
          <cell r="FH109">
            <v>4.5</v>
          </cell>
          <cell r="FI109">
            <v>10.5</v>
          </cell>
          <cell r="FJ109">
            <v>25</v>
          </cell>
          <cell r="FK109">
            <v>14.5</v>
          </cell>
          <cell r="FL109">
            <v>16</v>
          </cell>
          <cell r="FM109">
            <v>-1.5</v>
          </cell>
          <cell r="FN109" t="str">
            <v>0</v>
          </cell>
          <cell r="FO109" t="str">
            <v>1</v>
          </cell>
          <cell r="FP109">
            <v>1</v>
          </cell>
          <cell r="FQ109" t="str">
            <v>21</v>
          </cell>
        </row>
        <row r="110">
          <cell r="F110" t="str">
            <v>김소정</v>
          </cell>
          <cell r="DX110">
            <v>3</v>
          </cell>
          <cell r="DY110">
            <v>3</v>
          </cell>
          <cell r="FD110">
            <v>8</v>
          </cell>
          <cell r="FE110">
            <v>1</v>
          </cell>
          <cell r="FF110">
            <v>2</v>
          </cell>
          <cell r="FH110">
            <v>6</v>
          </cell>
          <cell r="FI110">
            <v>6</v>
          </cell>
          <cell r="FJ110">
            <v>16</v>
          </cell>
          <cell r="FK110">
            <v>10</v>
          </cell>
          <cell r="FL110">
            <v>16</v>
          </cell>
          <cell r="FM110">
            <v>-6</v>
          </cell>
          <cell r="FN110" t="str">
            <v>0</v>
          </cell>
          <cell r="FO110" t="str">
            <v>0</v>
          </cell>
          <cell r="FP110">
            <v>0</v>
          </cell>
          <cell r="FQ110">
            <v>16</v>
          </cell>
        </row>
        <row r="111">
          <cell r="F111" t="str">
            <v>김지혜</v>
          </cell>
          <cell r="BM111">
            <v>1</v>
          </cell>
          <cell r="BN111">
            <v>1</v>
          </cell>
          <cell r="BO111">
            <v>1</v>
          </cell>
          <cell r="BP111">
            <v>1</v>
          </cell>
          <cell r="BQ111" t="str">
            <v>(3일)</v>
          </cell>
          <cell r="CP111">
            <v>1</v>
          </cell>
          <cell r="CQ111">
            <v>1</v>
          </cell>
          <cell r="CR111">
            <v>1</v>
          </cell>
          <cell r="CS111">
            <v>1</v>
          </cell>
          <cell r="CT111" t="str">
            <v>(2일)</v>
          </cell>
          <cell r="DS111">
            <v>3</v>
          </cell>
          <cell r="DT111">
            <v>3</v>
          </cell>
          <cell r="FD111">
            <v>13</v>
          </cell>
          <cell r="FE111">
            <v>6</v>
          </cell>
          <cell r="FF111">
            <v>2</v>
          </cell>
          <cell r="FG111">
            <v>5</v>
          </cell>
          <cell r="FH111">
            <v>5</v>
          </cell>
          <cell r="FI111">
            <v>10</v>
          </cell>
          <cell r="FJ111">
            <v>17</v>
          </cell>
          <cell r="FK111">
            <v>7</v>
          </cell>
          <cell r="FL111">
            <v>16</v>
          </cell>
          <cell r="FM111">
            <v>-9</v>
          </cell>
          <cell r="FN111" t="str">
            <v>0</v>
          </cell>
          <cell r="FO111" t="str">
            <v>0</v>
          </cell>
          <cell r="FP111">
            <v>0</v>
          </cell>
          <cell r="FQ111">
            <v>17</v>
          </cell>
        </row>
        <row r="112">
          <cell r="F112" t="str">
            <v>남진이</v>
          </cell>
          <cell r="CF112">
            <v>1</v>
          </cell>
          <cell r="CG112">
            <v>1</v>
          </cell>
          <cell r="CH112">
            <v>1</v>
          </cell>
          <cell r="CI112" t="str">
            <v>(3일)</v>
          </cell>
          <cell r="DV112">
            <v>3</v>
          </cell>
          <cell r="DW112">
            <v>3</v>
          </cell>
          <cell r="FD112">
            <v>12</v>
          </cell>
          <cell r="FE112">
            <v>1</v>
          </cell>
          <cell r="FF112">
            <v>9</v>
          </cell>
          <cell r="FG112">
            <v>3</v>
          </cell>
          <cell r="FH112">
            <v>8</v>
          </cell>
          <cell r="FI112">
            <v>11</v>
          </cell>
          <cell r="FJ112">
            <v>23</v>
          </cell>
          <cell r="FK112">
            <v>12</v>
          </cell>
          <cell r="FL112">
            <v>16</v>
          </cell>
          <cell r="FM112">
            <v>-4</v>
          </cell>
          <cell r="FN112" t="str">
            <v>0</v>
          </cell>
          <cell r="FO112" t="str">
            <v>0</v>
          </cell>
          <cell r="FP112">
            <v>0</v>
          </cell>
          <cell r="FQ112" t="str">
            <v>21</v>
          </cell>
        </row>
        <row r="113">
          <cell r="F113" t="str">
            <v>도기복</v>
          </cell>
          <cell r="CM113">
            <v>1</v>
          </cell>
          <cell r="CN113">
            <v>1</v>
          </cell>
          <cell r="CO113" t="str">
            <v>(2일)</v>
          </cell>
          <cell r="EC113">
            <v>3</v>
          </cell>
          <cell r="ED113">
            <v>3</v>
          </cell>
          <cell r="FD113">
            <v>11</v>
          </cell>
          <cell r="FE113">
            <v>0</v>
          </cell>
          <cell r="FF113">
            <v>2</v>
          </cell>
          <cell r="FG113">
            <v>2</v>
          </cell>
          <cell r="FH113">
            <v>8</v>
          </cell>
          <cell r="FI113">
            <v>10</v>
          </cell>
          <cell r="FJ113">
            <v>23</v>
          </cell>
          <cell r="FK113">
            <v>13</v>
          </cell>
          <cell r="FL113">
            <v>16</v>
          </cell>
          <cell r="FM113">
            <v>-3</v>
          </cell>
          <cell r="FN113" t="str">
            <v>0</v>
          </cell>
          <cell r="FO113" t="str">
            <v>1</v>
          </cell>
          <cell r="FP113">
            <v>1</v>
          </cell>
          <cell r="FQ113" t="str">
            <v>21</v>
          </cell>
        </row>
        <row r="114">
          <cell r="F114" t="str">
            <v>한진섭</v>
          </cell>
          <cell r="CP114">
            <v>1</v>
          </cell>
          <cell r="CQ114">
            <v>1</v>
          </cell>
          <cell r="CR114">
            <v>1</v>
          </cell>
          <cell r="CS114" t="str">
            <v>(2일)</v>
          </cell>
          <cell r="DS114">
            <v>3</v>
          </cell>
          <cell r="DT114">
            <v>3</v>
          </cell>
          <cell r="FD114">
            <v>12</v>
          </cell>
          <cell r="FE114">
            <v>2</v>
          </cell>
          <cell r="FF114">
            <v>5</v>
          </cell>
          <cell r="FG114">
            <v>2</v>
          </cell>
          <cell r="FH114">
            <v>8</v>
          </cell>
          <cell r="FI114">
            <v>10</v>
          </cell>
          <cell r="FJ114">
            <v>24</v>
          </cell>
          <cell r="FK114">
            <v>14</v>
          </cell>
          <cell r="FL114">
            <v>16</v>
          </cell>
          <cell r="FM114">
            <v>-2</v>
          </cell>
          <cell r="FN114" t="str">
            <v>0</v>
          </cell>
          <cell r="FO114" t="str">
            <v>0</v>
          </cell>
          <cell r="FP114">
            <v>0</v>
          </cell>
          <cell r="FQ114" t="str">
            <v>21</v>
          </cell>
        </row>
        <row r="115">
          <cell r="F115" t="str">
            <v>홍용순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 t="str">
            <v>(5일)</v>
          </cell>
          <cell r="BY115">
            <v>1</v>
          </cell>
          <cell r="BZ115">
            <v>1</v>
          </cell>
          <cell r="CA115">
            <v>1</v>
          </cell>
          <cell r="CB115" t="str">
            <v>(3일)</v>
          </cell>
          <cell r="CO115">
            <v>1</v>
          </cell>
          <cell r="CP115" t="str">
            <v>(1일)</v>
          </cell>
          <cell r="EC115">
            <v>3</v>
          </cell>
          <cell r="ED115">
            <v>3</v>
          </cell>
          <cell r="FD115">
            <v>14</v>
          </cell>
          <cell r="FE115">
            <v>0</v>
          </cell>
          <cell r="FF115">
            <v>3</v>
          </cell>
          <cell r="FG115">
            <v>9</v>
          </cell>
          <cell r="FH115">
            <v>5</v>
          </cell>
          <cell r="FI115">
            <v>14</v>
          </cell>
          <cell r="FJ115">
            <v>23</v>
          </cell>
          <cell r="FK115">
            <v>9</v>
          </cell>
          <cell r="FL115">
            <v>16</v>
          </cell>
          <cell r="FM115">
            <v>-7</v>
          </cell>
          <cell r="FN115" t="str">
            <v>0</v>
          </cell>
          <cell r="FO115" t="str">
            <v>1</v>
          </cell>
          <cell r="FP115">
            <v>1</v>
          </cell>
          <cell r="FQ115" t="str">
            <v>21</v>
          </cell>
        </row>
        <row r="116">
          <cell r="F116" t="str">
            <v>최병문</v>
          </cell>
          <cell r="CM116">
            <v>1</v>
          </cell>
          <cell r="CN116">
            <v>1</v>
          </cell>
          <cell r="CO116">
            <v>1</v>
          </cell>
          <cell r="CP116" t="str">
            <v>(3일)</v>
          </cell>
          <cell r="EC116">
            <v>3</v>
          </cell>
          <cell r="ED116">
            <v>3</v>
          </cell>
          <cell r="FD116">
            <v>12</v>
          </cell>
          <cell r="FE116">
            <v>0</v>
          </cell>
          <cell r="FF116">
            <v>2</v>
          </cell>
          <cell r="FG116">
            <v>3</v>
          </cell>
          <cell r="FH116">
            <v>7.5</v>
          </cell>
          <cell r="FI116">
            <v>10.5</v>
          </cell>
          <cell r="FJ116">
            <v>24</v>
          </cell>
          <cell r="FK116">
            <v>13.5</v>
          </cell>
          <cell r="FL116">
            <v>16</v>
          </cell>
          <cell r="FM116">
            <v>-2.5</v>
          </cell>
          <cell r="FN116" t="str">
            <v>0</v>
          </cell>
          <cell r="FO116" t="str">
            <v>1</v>
          </cell>
          <cell r="FP116">
            <v>1</v>
          </cell>
          <cell r="FQ116" t="str">
            <v>21</v>
          </cell>
        </row>
        <row r="117">
          <cell r="F117" t="str">
            <v>고광문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  <cell r="Y117">
            <v>1</v>
          </cell>
          <cell r="Z117" t="str">
            <v>(4일)</v>
          </cell>
          <cell r="CM117">
            <v>1</v>
          </cell>
          <cell r="CN117">
            <v>1</v>
          </cell>
          <cell r="CO117">
            <v>1</v>
          </cell>
          <cell r="CP117" t="str">
            <v>(3일)</v>
          </cell>
          <cell r="EQ117">
            <v>1</v>
          </cell>
          <cell r="ER117">
            <v>1</v>
          </cell>
          <cell r="ES117">
            <v>1</v>
          </cell>
          <cell r="ET117" t="str">
            <v>(3일)</v>
          </cell>
          <cell r="FD117">
            <v>14</v>
          </cell>
          <cell r="FE117">
            <v>0</v>
          </cell>
          <cell r="FF117">
            <v>0</v>
          </cell>
          <cell r="FG117">
            <v>10</v>
          </cell>
          <cell r="FH117">
            <v>3</v>
          </cell>
          <cell r="FI117">
            <v>13</v>
          </cell>
          <cell r="FJ117">
            <v>24</v>
          </cell>
          <cell r="FK117">
            <v>11</v>
          </cell>
          <cell r="FL117">
            <v>16</v>
          </cell>
          <cell r="FM117">
            <v>-5</v>
          </cell>
          <cell r="FN117" t="str">
            <v>0</v>
          </cell>
          <cell r="FO117" t="str">
            <v>1</v>
          </cell>
          <cell r="FP117">
            <v>1</v>
          </cell>
          <cell r="FQ117" t="str">
            <v>21</v>
          </cell>
        </row>
        <row r="118">
          <cell r="F118" t="str">
            <v>김규순</v>
          </cell>
          <cell r="U118">
            <v>1</v>
          </cell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 t="str">
            <v>(4일)</v>
          </cell>
          <cell r="CV118">
            <v>1</v>
          </cell>
          <cell r="CW118">
            <v>1</v>
          </cell>
          <cell r="CX118">
            <v>1</v>
          </cell>
          <cell r="CY118" t="str">
            <v>(3일)</v>
          </cell>
          <cell r="EF118">
            <v>3</v>
          </cell>
          <cell r="EG118">
            <v>3</v>
          </cell>
          <cell r="FD118">
            <v>15</v>
          </cell>
          <cell r="FE118">
            <v>0</v>
          </cell>
          <cell r="FF118">
            <v>9</v>
          </cell>
          <cell r="FG118">
            <v>7</v>
          </cell>
          <cell r="FH118">
            <v>4</v>
          </cell>
          <cell r="FI118">
            <v>11</v>
          </cell>
          <cell r="FJ118">
            <v>25</v>
          </cell>
          <cell r="FK118">
            <v>14</v>
          </cell>
          <cell r="FL118">
            <v>16</v>
          </cell>
          <cell r="FM118">
            <v>-2</v>
          </cell>
          <cell r="FN118" t="str">
            <v>0</v>
          </cell>
          <cell r="FO118" t="str">
            <v>1</v>
          </cell>
          <cell r="FP118">
            <v>1</v>
          </cell>
          <cell r="FQ118" t="str">
            <v>21</v>
          </cell>
        </row>
        <row r="119">
          <cell r="F119" t="str">
            <v>김홍석</v>
          </cell>
          <cell r="G119">
            <v>1</v>
          </cell>
          <cell r="H119">
            <v>1</v>
          </cell>
          <cell r="I119">
            <v>1</v>
          </cell>
          <cell r="J119">
            <v>1</v>
          </cell>
          <cell r="K119">
            <v>1</v>
          </cell>
          <cell r="L119" t="str">
            <v>(5일)</v>
          </cell>
          <cell r="CM119">
            <v>1</v>
          </cell>
          <cell r="CN119">
            <v>1</v>
          </cell>
          <cell r="CO119">
            <v>1</v>
          </cell>
          <cell r="CP119" t="str">
            <v>(3일)</v>
          </cell>
          <cell r="DX119">
            <v>3</v>
          </cell>
          <cell r="DY119">
            <v>3</v>
          </cell>
          <cell r="FD119">
            <v>14</v>
          </cell>
          <cell r="FE119">
            <v>0</v>
          </cell>
          <cell r="FF119">
            <v>2</v>
          </cell>
          <cell r="FG119">
            <v>8</v>
          </cell>
          <cell r="FH119">
            <v>5.5</v>
          </cell>
          <cell r="FI119">
            <v>13.5</v>
          </cell>
          <cell r="FJ119">
            <v>23</v>
          </cell>
          <cell r="FK119">
            <v>9.5</v>
          </cell>
          <cell r="FL119">
            <v>16</v>
          </cell>
          <cell r="FM119">
            <v>-6.5</v>
          </cell>
          <cell r="FN119" t="str">
            <v>0</v>
          </cell>
          <cell r="FO119" t="str">
            <v>1</v>
          </cell>
          <cell r="FP119">
            <v>1</v>
          </cell>
          <cell r="FQ119" t="str">
            <v>21</v>
          </cell>
        </row>
        <row r="120">
          <cell r="F120" t="str">
            <v>남재봉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 t="str">
            <v>(4일)</v>
          </cell>
          <cell r="CF120">
            <v>1</v>
          </cell>
          <cell r="CG120">
            <v>1</v>
          </cell>
          <cell r="CH120">
            <v>1</v>
          </cell>
          <cell r="CI120" t="str">
            <v>(3일)</v>
          </cell>
          <cell r="EC120">
            <v>3</v>
          </cell>
          <cell r="ED120">
            <v>3</v>
          </cell>
          <cell r="FD120">
            <v>13</v>
          </cell>
          <cell r="FE120">
            <v>0</v>
          </cell>
          <cell r="FF120">
            <v>2</v>
          </cell>
          <cell r="FG120">
            <v>7</v>
          </cell>
          <cell r="FH120">
            <v>3</v>
          </cell>
          <cell r="FI120">
            <v>10</v>
          </cell>
          <cell r="FJ120">
            <v>24</v>
          </cell>
          <cell r="FK120">
            <v>14</v>
          </cell>
          <cell r="FL120">
            <v>16</v>
          </cell>
          <cell r="FM120">
            <v>-2</v>
          </cell>
          <cell r="FN120" t="str">
            <v>0</v>
          </cell>
          <cell r="FO120" t="str">
            <v>1</v>
          </cell>
          <cell r="FP120">
            <v>1</v>
          </cell>
          <cell r="FQ120" t="str">
            <v>21</v>
          </cell>
        </row>
        <row r="121">
          <cell r="F121" t="str">
            <v>박정용</v>
          </cell>
          <cell r="AB121">
            <v>1</v>
          </cell>
          <cell r="AC121" t="str">
            <v>(1일)</v>
          </cell>
          <cell r="AE121">
            <v>1</v>
          </cell>
          <cell r="AF121">
            <v>1</v>
          </cell>
          <cell r="AG121" t="str">
            <v>(2일)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 t="str">
            <v>(6일)</v>
          </cell>
          <cell r="CT121">
            <v>1</v>
          </cell>
          <cell r="CU121">
            <v>1</v>
          </cell>
          <cell r="CV121">
            <v>1</v>
          </cell>
          <cell r="CW121" t="str">
            <v>(3일)</v>
          </cell>
          <cell r="DZ121">
            <v>3</v>
          </cell>
          <cell r="EA121">
            <v>3</v>
          </cell>
          <cell r="FA121">
            <v>1</v>
          </cell>
          <cell r="FB121" t="str">
            <v>(1일)</v>
          </cell>
          <cell r="FD121">
            <v>20</v>
          </cell>
          <cell r="FE121">
            <v>0</v>
          </cell>
          <cell r="FF121">
            <v>7</v>
          </cell>
          <cell r="FG121">
            <v>13</v>
          </cell>
          <cell r="FH121">
            <v>4</v>
          </cell>
          <cell r="FI121">
            <v>17</v>
          </cell>
          <cell r="FJ121">
            <v>25</v>
          </cell>
          <cell r="FK121">
            <v>8</v>
          </cell>
          <cell r="FL121">
            <v>16</v>
          </cell>
          <cell r="FM121">
            <v>-8</v>
          </cell>
          <cell r="FN121" t="str">
            <v>0</v>
          </cell>
          <cell r="FO121" t="str">
            <v>1</v>
          </cell>
          <cell r="FP121">
            <v>1</v>
          </cell>
          <cell r="FQ121" t="str">
            <v>21</v>
          </cell>
        </row>
        <row r="122">
          <cell r="F122" t="str">
            <v>성낙윤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 t="str">
            <v>(5일)</v>
          </cell>
          <cell r="CB122">
            <v>1</v>
          </cell>
          <cell r="CC122">
            <v>1</v>
          </cell>
          <cell r="CD122">
            <v>1</v>
          </cell>
          <cell r="CE122" t="str">
            <v>(2일)</v>
          </cell>
          <cell r="EF122">
            <v>3</v>
          </cell>
          <cell r="EG122">
            <v>3</v>
          </cell>
          <cell r="FD122">
            <v>12</v>
          </cell>
          <cell r="FE122">
            <v>0</v>
          </cell>
          <cell r="FF122">
            <v>2</v>
          </cell>
          <cell r="FG122">
            <v>7</v>
          </cell>
          <cell r="FH122">
            <v>2.5</v>
          </cell>
          <cell r="FI122">
            <v>9.5</v>
          </cell>
          <cell r="FJ122">
            <v>24</v>
          </cell>
          <cell r="FK122">
            <v>14.5</v>
          </cell>
          <cell r="FL122">
            <v>16</v>
          </cell>
          <cell r="FM122">
            <v>-1.5</v>
          </cell>
          <cell r="FN122" t="str">
            <v>0</v>
          </cell>
          <cell r="FO122" t="str">
            <v>1</v>
          </cell>
          <cell r="FP122">
            <v>1</v>
          </cell>
          <cell r="FQ122" t="str">
            <v>21</v>
          </cell>
        </row>
        <row r="123">
          <cell r="F123" t="str">
            <v>손기언</v>
          </cell>
          <cell r="G123">
            <v>3</v>
          </cell>
          <cell r="H123">
            <v>3</v>
          </cell>
          <cell r="I123">
            <v>3</v>
          </cell>
          <cell r="J123">
            <v>3</v>
          </cell>
          <cell r="K123">
            <v>3</v>
          </cell>
          <cell r="AW123">
            <v>1</v>
          </cell>
          <cell r="AX123" t="str">
            <v>(1일)</v>
          </cell>
          <cell r="BY123">
            <v>1</v>
          </cell>
          <cell r="BZ123">
            <v>1</v>
          </cell>
          <cell r="CA123">
            <v>1</v>
          </cell>
          <cell r="CB123" t="str">
            <v>(3일)</v>
          </cell>
          <cell r="DV123">
            <v>3</v>
          </cell>
          <cell r="DW123">
            <v>3</v>
          </cell>
          <cell r="FD123">
            <v>9</v>
          </cell>
          <cell r="FE123">
            <v>0</v>
          </cell>
          <cell r="FF123">
            <v>7</v>
          </cell>
          <cell r="FG123">
            <v>4</v>
          </cell>
          <cell r="FH123">
            <v>4.5</v>
          </cell>
          <cell r="FI123">
            <v>8.5</v>
          </cell>
          <cell r="FJ123">
            <v>24</v>
          </cell>
          <cell r="FK123">
            <v>15.5</v>
          </cell>
          <cell r="FL123">
            <v>16</v>
          </cell>
          <cell r="FM123">
            <v>-0.5</v>
          </cell>
          <cell r="FN123" t="str">
            <v>0</v>
          </cell>
          <cell r="FO123" t="str">
            <v>1</v>
          </cell>
          <cell r="FP123">
            <v>1</v>
          </cell>
          <cell r="FQ123" t="str">
            <v>21</v>
          </cell>
        </row>
        <row r="124">
          <cell r="F124" t="str">
            <v>신영섭</v>
          </cell>
          <cell r="G124">
            <v>1</v>
          </cell>
          <cell r="H124">
            <v>1</v>
          </cell>
          <cell r="I124">
            <v>1</v>
          </cell>
          <cell r="J124">
            <v>1</v>
          </cell>
          <cell r="K124">
            <v>1</v>
          </cell>
          <cell r="L124">
            <v>1</v>
          </cell>
          <cell r="M124" t="str">
            <v>(5일)</v>
          </cell>
          <cell r="CI124">
            <v>1</v>
          </cell>
          <cell r="CJ124">
            <v>1</v>
          </cell>
          <cell r="CK124">
            <v>1</v>
          </cell>
          <cell r="CL124" t="str">
            <v>(2일)</v>
          </cell>
          <cell r="DZ124">
            <v>3</v>
          </cell>
          <cell r="EA124">
            <v>3</v>
          </cell>
          <cell r="FD124">
            <v>12</v>
          </cell>
          <cell r="FE124">
            <v>0</v>
          </cell>
          <cell r="FF124">
            <v>2</v>
          </cell>
          <cell r="FG124">
            <v>7</v>
          </cell>
          <cell r="FH124">
            <v>3</v>
          </cell>
          <cell r="FI124">
            <v>10</v>
          </cell>
          <cell r="FJ124">
            <v>24</v>
          </cell>
          <cell r="FK124">
            <v>14</v>
          </cell>
          <cell r="FL124">
            <v>16</v>
          </cell>
          <cell r="FM124">
            <v>-2</v>
          </cell>
          <cell r="FN124" t="str">
            <v>0</v>
          </cell>
          <cell r="FO124" t="str">
            <v>1</v>
          </cell>
          <cell r="FP124">
            <v>1</v>
          </cell>
          <cell r="FQ124" t="str">
            <v>21</v>
          </cell>
        </row>
        <row r="125">
          <cell r="F125" t="str">
            <v>정준채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 t="str">
            <v>(4일)</v>
          </cell>
          <cell r="CT125">
            <v>1</v>
          </cell>
          <cell r="CU125">
            <v>1</v>
          </cell>
          <cell r="CV125">
            <v>1</v>
          </cell>
          <cell r="CW125" t="str">
            <v>(3일)</v>
          </cell>
          <cell r="EE125">
            <v>3</v>
          </cell>
          <cell r="EF125">
            <v>3</v>
          </cell>
          <cell r="FD125">
            <v>13</v>
          </cell>
          <cell r="FE125">
            <v>0</v>
          </cell>
          <cell r="FF125">
            <v>2</v>
          </cell>
          <cell r="FG125">
            <v>7</v>
          </cell>
          <cell r="FH125">
            <v>3.5</v>
          </cell>
          <cell r="FI125">
            <v>10.5</v>
          </cell>
          <cell r="FJ125">
            <v>23</v>
          </cell>
          <cell r="FK125">
            <v>12.5</v>
          </cell>
          <cell r="FL125">
            <v>16</v>
          </cell>
          <cell r="FM125">
            <v>-3.5</v>
          </cell>
          <cell r="FN125" t="str">
            <v>0</v>
          </cell>
          <cell r="FO125" t="str">
            <v>1</v>
          </cell>
          <cell r="FP125">
            <v>1</v>
          </cell>
          <cell r="FQ125" t="str">
            <v>21</v>
          </cell>
        </row>
        <row r="126">
          <cell r="F126" t="str">
            <v>정철욱</v>
          </cell>
          <cell r="I126">
            <v>1</v>
          </cell>
          <cell r="J126">
            <v>1</v>
          </cell>
          <cell r="K126">
            <v>1</v>
          </cell>
          <cell r="L126" t="str">
            <v>(3일)</v>
          </cell>
          <cell r="CT126">
            <v>1</v>
          </cell>
          <cell r="CU126">
            <v>1</v>
          </cell>
          <cell r="CV126">
            <v>1</v>
          </cell>
          <cell r="CW126" t="str">
            <v>(3일)</v>
          </cell>
          <cell r="DZ126">
            <v>3</v>
          </cell>
          <cell r="EA126">
            <v>3</v>
          </cell>
          <cell r="FD126">
            <v>8</v>
          </cell>
          <cell r="FE126">
            <v>0</v>
          </cell>
          <cell r="FF126">
            <v>2</v>
          </cell>
          <cell r="FG126">
            <v>6</v>
          </cell>
          <cell r="FH126">
            <v>1</v>
          </cell>
          <cell r="FI126">
            <v>7</v>
          </cell>
          <cell r="FJ126">
            <v>25</v>
          </cell>
          <cell r="FK126">
            <v>18</v>
          </cell>
          <cell r="FL126">
            <v>16</v>
          </cell>
          <cell r="FM126">
            <v>2</v>
          </cell>
          <cell r="FN126" t="str">
            <v>1</v>
          </cell>
          <cell r="FO126" t="str">
            <v>1</v>
          </cell>
          <cell r="FP126">
            <v>2</v>
          </cell>
          <cell r="FQ126" t="str">
            <v>21</v>
          </cell>
        </row>
        <row r="127">
          <cell r="F127" t="str">
            <v>하종기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1</v>
          </cell>
          <cell r="Z127" t="str">
            <v>(4일)</v>
          </cell>
          <cell r="EJ127">
            <v>1</v>
          </cell>
          <cell r="EK127">
            <v>1</v>
          </cell>
          <cell r="EL127">
            <v>1</v>
          </cell>
          <cell r="EM127" t="str">
            <v>(3일)</v>
          </cell>
          <cell r="FD127">
            <v>15</v>
          </cell>
          <cell r="FE127">
            <v>0</v>
          </cell>
          <cell r="FF127">
            <v>0</v>
          </cell>
          <cell r="FG127">
            <v>7</v>
          </cell>
          <cell r="FH127">
            <v>5.5</v>
          </cell>
          <cell r="FI127">
            <v>12.5</v>
          </cell>
          <cell r="FJ127">
            <v>25</v>
          </cell>
          <cell r="FK127">
            <v>12.5</v>
          </cell>
          <cell r="FL127">
            <v>16</v>
          </cell>
          <cell r="FM127">
            <v>-3.5</v>
          </cell>
          <cell r="FN127" t="str">
            <v>0</v>
          </cell>
          <cell r="FO127" t="str">
            <v>1</v>
          </cell>
          <cell r="FP127">
            <v>1</v>
          </cell>
          <cell r="FQ127" t="str">
            <v>21</v>
          </cell>
        </row>
        <row r="128">
          <cell r="F128" t="str">
            <v>강호남</v>
          </cell>
          <cell r="U128">
            <v>1</v>
          </cell>
          <cell r="V128">
            <v>1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 t="str">
            <v>(4일)</v>
          </cell>
          <cell r="CW128">
            <v>1</v>
          </cell>
          <cell r="CX128">
            <v>1</v>
          </cell>
          <cell r="CY128">
            <v>1</v>
          </cell>
          <cell r="CZ128" t="str">
            <v>(2일)</v>
          </cell>
          <cell r="DO128">
            <v>3</v>
          </cell>
          <cell r="DP128">
            <v>3</v>
          </cell>
          <cell r="ET128">
            <v>1</v>
          </cell>
          <cell r="EU128" t="str">
            <v>(1일)</v>
          </cell>
          <cell r="FD128">
            <v>14</v>
          </cell>
          <cell r="FE128">
            <v>0</v>
          </cell>
          <cell r="FF128">
            <v>2</v>
          </cell>
          <cell r="FG128">
            <v>7</v>
          </cell>
          <cell r="FH128">
            <v>3.5</v>
          </cell>
          <cell r="FI128">
            <v>10.5</v>
          </cell>
          <cell r="FJ128">
            <v>24</v>
          </cell>
          <cell r="FK128">
            <v>13.5</v>
          </cell>
          <cell r="FL128">
            <v>16</v>
          </cell>
          <cell r="FM128">
            <v>-2.5</v>
          </cell>
          <cell r="FN128" t="str">
            <v>0</v>
          </cell>
          <cell r="FO128" t="str">
            <v>1</v>
          </cell>
          <cell r="FP128">
            <v>1</v>
          </cell>
          <cell r="FQ128" t="str">
            <v>21</v>
          </cell>
        </row>
        <row r="129">
          <cell r="F129" t="str">
            <v>김규철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 t="str">
            <v>(3일)</v>
          </cell>
          <cell r="AT129">
            <v>3</v>
          </cell>
          <cell r="AU129">
            <v>3</v>
          </cell>
          <cell r="AV129">
            <v>3</v>
          </cell>
          <cell r="EG129">
            <v>3</v>
          </cell>
          <cell r="EH129">
            <v>3</v>
          </cell>
          <cell r="FD129">
            <v>8</v>
          </cell>
          <cell r="FE129">
            <v>0</v>
          </cell>
          <cell r="FF129">
            <v>5</v>
          </cell>
          <cell r="FG129">
            <v>3</v>
          </cell>
          <cell r="FH129">
            <v>4</v>
          </cell>
          <cell r="FI129">
            <v>7</v>
          </cell>
          <cell r="FJ129">
            <v>23</v>
          </cell>
          <cell r="FK129">
            <v>16</v>
          </cell>
          <cell r="FL129">
            <v>16</v>
          </cell>
          <cell r="FM129">
            <v>0</v>
          </cell>
          <cell r="FN129" t="str">
            <v>0</v>
          </cell>
          <cell r="FO129" t="str">
            <v>1</v>
          </cell>
          <cell r="FP129">
            <v>1</v>
          </cell>
          <cell r="FQ129" t="str">
            <v>21</v>
          </cell>
        </row>
        <row r="130">
          <cell r="F130" t="str">
            <v>김용노</v>
          </cell>
          <cell r="V130">
            <v>1</v>
          </cell>
          <cell r="W130">
            <v>1</v>
          </cell>
          <cell r="X130">
            <v>1</v>
          </cell>
          <cell r="Y130">
            <v>1</v>
          </cell>
          <cell r="Z130" t="str">
            <v>(4일)</v>
          </cell>
          <cell r="DV130">
            <v>3</v>
          </cell>
          <cell r="DW130">
            <v>3</v>
          </cell>
          <cell r="FD130">
            <v>11</v>
          </cell>
          <cell r="FE130">
            <v>14</v>
          </cell>
          <cell r="FF130">
            <v>2</v>
          </cell>
          <cell r="FG130">
            <v>4</v>
          </cell>
          <cell r="FH130">
            <v>6.5</v>
          </cell>
          <cell r="FI130">
            <v>10.5</v>
          </cell>
          <cell r="FJ130">
            <v>25</v>
          </cell>
          <cell r="FK130">
            <v>14.5</v>
          </cell>
          <cell r="FL130">
            <v>16</v>
          </cell>
          <cell r="FM130">
            <v>-1.5</v>
          </cell>
          <cell r="FN130" t="str">
            <v>0</v>
          </cell>
          <cell r="FO130" t="str">
            <v>0</v>
          </cell>
          <cell r="FP130">
            <v>0</v>
          </cell>
          <cell r="FQ130" t="str">
            <v>21</v>
          </cell>
        </row>
        <row r="131">
          <cell r="F131" t="str">
            <v>박선영</v>
          </cell>
          <cell r="N131">
            <v>1</v>
          </cell>
          <cell r="O131">
            <v>1</v>
          </cell>
          <cell r="P131">
            <v>1</v>
          </cell>
          <cell r="Q131">
            <v>1</v>
          </cell>
          <cell r="R131">
            <v>1</v>
          </cell>
          <cell r="S131">
            <v>1</v>
          </cell>
          <cell r="T131" t="str">
            <v>(5일)</v>
          </cell>
          <cell r="AW131">
            <v>1</v>
          </cell>
          <cell r="AX131" t="str">
            <v>(1일)</v>
          </cell>
          <cell r="BK131">
            <v>1</v>
          </cell>
          <cell r="BL131" t="str">
            <v>(1일)</v>
          </cell>
          <cell r="BY131">
            <v>3</v>
          </cell>
          <cell r="BZ131">
            <v>3</v>
          </cell>
          <cell r="CA131">
            <v>3</v>
          </cell>
          <cell r="CB131">
            <v>3</v>
          </cell>
          <cell r="CC131">
            <v>3</v>
          </cell>
          <cell r="CD131">
            <v>3</v>
          </cell>
          <cell r="CE131">
            <v>3</v>
          </cell>
          <cell r="EC131">
            <v>3</v>
          </cell>
          <cell r="ED131">
            <v>3</v>
          </cell>
          <cell r="FD131">
            <v>10</v>
          </cell>
          <cell r="FE131">
            <v>0</v>
          </cell>
          <cell r="FF131">
            <v>9</v>
          </cell>
          <cell r="FG131">
            <v>7</v>
          </cell>
          <cell r="FH131">
            <v>1.5</v>
          </cell>
          <cell r="FI131">
            <v>8.5</v>
          </cell>
          <cell r="FJ131">
            <v>17</v>
          </cell>
          <cell r="FK131">
            <v>8.5</v>
          </cell>
          <cell r="FL131">
            <v>16</v>
          </cell>
          <cell r="FM131">
            <v>-7.5</v>
          </cell>
          <cell r="FN131" t="str">
            <v>0</v>
          </cell>
          <cell r="FO131" t="str">
            <v>1</v>
          </cell>
          <cell r="FP131">
            <v>1</v>
          </cell>
          <cell r="FQ131">
            <v>18</v>
          </cell>
        </row>
        <row r="132">
          <cell r="F132" t="str">
            <v>박충서</v>
          </cell>
          <cell r="CF132">
            <v>1</v>
          </cell>
          <cell r="CG132">
            <v>1</v>
          </cell>
          <cell r="CH132">
            <v>1</v>
          </cell>
          <cell r="CI132" t="str">
            <v>(3일)</v>
          </cell>
          <cell r="DX132">
            <v>3</v>
          </cell>
          <cell r="DY132">
            <v>3</v>
          </cell>
          <cell r="EG132" t="str">
            <v>6시간</v>
          </cell>
          <cell r="EU132">
            <v>1</v>
          </cell>
          <cell r="EV132">
            <v>1</v>
          </cell>
          <cell r="EW132" t="str">
            <v>(1일)</v>
          </cell>
          <cell r="FD132">
            <v>16</v>
          </cell>
          <cell r="FE132">
            <v>0</v>
          </cell>
          <cell r="FF132">
            <v>2</v>
          </cell>
          <cell r="FG132">
            <v>4</v>
          </cell>
          <cell r="FH132">
            <v>10.5</v>
          </cell>
          <cell r="FI132">
            <v>14.5</v>
          </cell>
          <cell r="FJ132">
            <v>24</v>
          </cell>
          <cell r="FK132">
            <v>9.5</v>
          </cell>
          <cell r="FL132">
            <v>16</v>
          </cell>
          <cell r="FM132">
            <v>-6.5</v>
          </cell>
          <cell r="FN132" t="str">
            <v>0</v>
          </cell>
          <cell r="FO132" t="str">
            <v>1</v>
          </cell>
          <cell r="FP132">
            <v>1</v>
          </cell>
          <cell r="FQ132" t="str">
            <v>21</v>
          </cell>
        </row>
        <row r="133">
          <cell r="F133" t="str">
            <v>안동현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 t="str">
            <v>(5일)</v>
          </cell>
          <cell r="CF133">
            <v>1</v>
          </cell>
          <cell r="CG133">
            <v>1</v>
          </cell>
          <cell r="CH133">
            <v>1</v>
          </cell>
          <cell r="CI133" t="str">
            <v>(3일)</v>
          </cell>
          <cell r="EF133">
            <v>3</v>
          </cell>
          <cell r="EG133">
            <v>3</v>
          </cell>
          <cell r="FD133">
            <v>15</v>
          </cell>
          <cell r="FE133">
            <v>0</v>
          </cell>
          <cell r="FF133">
            <v>2</v>
          </cell>
          <cell r="FG133">
            <v>8</v>
          </cell>
          <cell r="FH133">
            <v>4</v>
          </cell>
          <cell r="FI133">
            <v>12</v>
          </cell>
          <cell r="FJ133">
            <v>24</v>
          </cell>
          <cell r="FK133">
            <v>12</v>
          </cell>
          <cell r="FL133">
            <v>16</v>
          </cell>
          <cell r="FM133">
            <v>-4</v>
          </cell>
          <cell r="FN133" t="str">
            <v>0</v>
          </cell>
          <cell r="FO133" t="str">
            <v>1</v>
          </cell>
          <cell r="FP133">
            <v>1</v>
          </cell>
          <cell r="FQ133" t="str">
            <v>21</v>
          </cell>
        </row>
        <row r="134">
          <cell r="F134" t="str">
            <v>안진규</v>
          </cell>
          <cell r="BT134">
            <v>1</v>
          </cell>
          <cell r="BU134">
            <v>1</v>
          </cell>
          <cell r="BV134">
            <v>1</v>
          </cell>
          <cell r="BW134" t="str">
            <v>(3일)</v>
          </cell>
          <cell r="EF134">
            <v>3</v>
          </cell>
          <cell r="EG134">
            <v>3</v>
          </cell>
          <cell r="FD134">
            <v>10</v>
          </cell>
          <cell r="FE134">
            <v>0</v>
          </cell>
          <cell r="FF134">
            <v>3</v>
          </cell>
          <cell r="FG134">
            <v>3</v>
          </cell>
          <cell r="FH134">
            <v>7</v>
          </cell>
          <cell r="FI134">
            <v>10</v>
          </cell>
          <cell r="FJ134">
            <v>25</v>
          </cell>
          <cell r="FK134">
            <v>15</v>
          </cell>
          <cell r="FL134">
            <v>16</v>
          </cell>
          <cell r="FM134">
            <v>-1</v>
          </cell>
          <cell r="FN134" t="str">
            <v>0</v>
          </cell>
          <cell r="FO134" t="str">
            <v>1</v>
          </cell>
          <cell r="FP134">
            <v>1</v>
          </cell>
          <cell r="FQ134" t="str">
            <v>21</v>
          </cell>
        </row>
        <row r="135">
          <cell r="F135" t="str">
            <v>윤한명</v>
          </cell>
          <cell r="EX135">
            <v>1</v>
          </cell>
          <cell r="EY135" t="str">
            <v>(1일)</v>
          </cell>
          <cell r="FD135">
            <v>6</v>
          </cell>
          <cell r="FE135">
            <v>2</v>
          </cell>
          <cell r="FF135">
            <v>7</v>
          </cell>
          <cell r="FG135">
            <v>1</v>
          </cell>
          <cell r="FH135">
            <v>5</v>
          </cell>
          <cell r="FI135">
            <v>6</v>
          </cell>
          <cell r="FJ135">
            <v>24</v>
          </cell>
          <cell r="FK135">
            <v>18</v>
          </cell>
          <cell r="FL135">
            <v>16</v>
          </cell>
          <cell r="FM135">
            <v>2</v>
          </cell>
          <cell r="FN135" t="str">
            <v>1</v>
          </cell>
          <cell r="FO135" t="str">
            <v>0</v>
          </cell>
          <cell r="FP135">
            <v>1</v>
          </cell>
          <cell r="FQ135" t="str">
            <v>21</v>
          </cell>
        </row>
        <row r="136">
          <cell r="F136" t="str">
            <v>정현욱</v>
          </cell>
          <cell r="N136">
            <v>1</v>
          </cell>
          <cell r="O136">
            <v>1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 t="str">
            <v>(5일)</v>
          </cell>
          <cell r="CI136">
            <v>1</v>
          </cell>
          <cell r="CJ136">
            <v>1</v>
          </cell>
          <cell r="CK136">
            <v>1</v>
          </cell>
          <cell r="CL136" t="str">
            <v>(2일)</v>
          </cell>
          <cell r="DQ136">
            <v>3</v>
          </cell>
          <cell r="DR136">
            <v>3</v>
          </cell>
          <cell r="EF136">
            <v>1</v>
          </cell>
          <cell r="EG136">
            <v>1</v>
          </cell>
          <cell r="EH136" t="str">
            <v>(2일)</v>
          </cell>
          <cell r="FD136">
            <v>14</v>
          </cell>
          <cell r="FE136">
            <v>0</v>
          </cell>
          <cell r="FF136">
            <v>2</v>
          </cell>
          <cell r="FG136">
            <v>9</v>
          </cell>
          <cell r="FH136">
            <v>2</v>
          </cell>
          <cell r="FI136">
            <v>11</v>
          </cell>
          <cell r="FJ136">
            <v>24</v>
          </cell>
          <cell r="FK136">
            <v>13</v>
          </cell>
          <cell r="FL136">
            <v>16</v>
          </cell>
          <cell r="FM136">
            <v>-3</v>
          </cell>
          <cell r="FN136" t="str">
            <v>0</v>
          </cell>
          <cell r="FO136" t="str">
            <v>1</v>
          </cell>
          <cell r="FP136">
            <v>1</v>
          </cell>
          <cell r="FQ136" t="str">
            <v>21</v>
          </cell>
        </row>
        <row r="137">
          <cell r="F137" t="str">
            <v>조보철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1</v>
          </cell>
          <cell r="AO137" t="str">
            <v>(4일)</v>
          </cell>
          <cell r="CT137">
            <v>1</v>
          </cell>
          <cell r="CU137">
            <v>1</v>
          </cell>
          <cell r="CV137">
            <v>1</v>
          </cell>
          <cell r="CW137" t="str">
            <v>(3일)</v>
          </cell>
          <cell r="DV137">
            <v>3</v>
          </cell>
          <cell r="DW137">
            <v>3</v>
          </cell>
          <cell r="FD137">
            <v>11</v>
          </cell>
          <cell r="FE137">
            <v>0</v>
          </cell>
          <cell r="FF137">
            <v>2</v>
          </cell>
          <cell r="FG137">
            <v>7</v>
          </cell>
          <cell r="FH137">
            <v>3</v>
          </cell>
          <cell r="FI137">
            <v>10</v>
          </cell>
          <cell r="FJ137">
            <v>25</v>
          </cell>
          <cell r="FK137">
            <v>15</v>
          </cell>
          <cell r="FL137">
            <v>16</v>
          </cell>
          <cell r="FM137">
            <v>-1</v>
          </cell>
          <cell r="FN137" t="str">
            <v>0</v>
          </cell>
          <cell r="FO137" t="str">
            <v>1</v>
          </cell>
          <cell r="FP137">
            <v>1</v>
          </cell>
          <cell r="FQ137" t="str">
            <v>21</v>
          </cell>
        </row>
        <row r="138">
          <cell r="F138" t="str">
            <v>김용준</v>
          </cell>
          <cell r="U138">
            <v>1</v>
          </cell>
          <cell r="V138">
            <v>1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 t="str">
            <v>(4일)</v>
          </cell>
          <cell r="BG138">
            <v>1</v>
          </cell>
          <cell r="BH138" t="str">
            <v>(1일)</v>
          </cell>
          <cell r="DT138">
            <v>3</v>
          </cell>
          <cell r="DU138">
            <v>3</v>
          </cell>
          <cell r="DV138">
            <v>3</v>
          </cell>
          <cell r="DW138">
            <v>3</v>
          </cell>
          <cell r="DX138">
            <v>3</v>
          </cell>
          <cell r="DY138">
            <v>3</v>
          </cell>
          <cell r="DZ138">
            <v>3</v>
          </cell>
          <cell r="EG138">
            <v>3</v>
          </cell>
          <cell r="EH138">
            <v>3</v>
          </cell>
          <cell r="FD138">
            <v>10</v>
          </cell>
          <cell r="FE138">
            <v>0</v>
          </cell>
          <cell r="FF138">
            <v>9</v>
          </cell>
          <cell r="FG138">
            <v>5</v>
          </cell>
          <cell r="FH138">
            <v>2.5</v>
          </cell>
          <cell r="FI138">
            <v>7.5</v>
          </cell>
          <cell r="FJ138">
            <v>25</v>
          </cell>
          <cell r="FK138">
            <v>17.5</v>
          </cell>
          <cell r="FL138">
            <v>16</v>
          </cell>
          <cell r="FM138">
            <v>1.5</v>
          </cell>
          <cell r="FN138" t="str">
            <v>1</v>
          </cell>
          <cell r="FO138" t="str">
            <v>1</v>
          </cell>
          <cell r="FP138">
            <v>2</v>
          </cell>
          <cell r="FQ138" t="str">
            <v>21</v>
          </cell>
        </row>
        <row r="139">
          <cell r="F139" t="str">
            <v>김장수</v>
          </cell>
          <cell r="CP139">
            <v>1</v>
          </cell>
          <cell r="CQ139">
            <v>1</v>
          </cell>
          <cell r="CR139" t="str">
            <v>(2일)</v>
          </cell>
          <cell r="EC139">
            <v>3</v>
          </cell>
          <cell r="ED139">
            <v>3</v>
          </cell>
          <cell r="FD139">
            <v>8</v>
          </cell>
          <cell r="FE139">
            <v>0</v>
          </cell>
          <cell r="FF139">
            <v>3</v>
          </cell>
          <cell r="FG139">
            <v>2</v>
          </cell>
          <cell r="FH139">
            <v>5</v>
          </cell>
          <cell r="FI139">
            <v>7</v>
          </cell>
          <cell r="FJ139">
            <v>25</v>
          </cell>
          <cell r="FK139">
            <v>18</v>
          </cell>
          <cell r="FL139">
            <v>16</v>
          </cell>
          <cell r="FM139">
            <v>2</v>
          </cell>
          <cell r="FN139" t="str">
            <v>1</v>
          </cell>
          <cell r="FO139" t="str">
            <v>1</v>
          </cell>
          <cell r="FP139">
            <v>2</v>
          </cell>
          <cell r="FQ139" t="str">
            <v>21</v>
          </cell>
        </row>
        <row r="140">
          <cell r="F140" t="str">
            <v>박병환</v>
          </cell>
          <cell r="AA140">
            <v>1</v>
          </cell>
          <cell r="AB140" t="str">
            <v>(1일)</v>
          </cell>
          <cell r="BW140">
            <v>1</v>
          </cell>
          <cell r="BX140" t="str">
            <v>(1일)</v>
          </cell>
          <cell r="CN140">
            <v>1</v>
          </cell>
          <cell r="CO140" t="str">
            <v>(1일)</v>
          </cell>
          <cell r="DS140">
            <v>3</v>
          </cell>
          <cell r="DT140">
            <v>3</v>
          </cell>
          <cell r="FD140">
            <v>11</v>
          </cell>
          <cell r="FE140">
            <v>0</v>
          </cell>
          <cell r="FF140">
            <v>2</v>
          </cell>
          <cell r="FG140">
            <v>3</v>
          </cell>
          <cell r="FH140">
            <v>5</v>
          </cell>
          <cell r="FI140">
            <v>8</v>
          </cell>
          <cell r="FJ140">
            <v>25</v>
          </cell>
          <cell r="FK140">
            <v>17</v>
          </cell>
          <cell r="FL140">
            <v>16</v>
          </cell>
          <cell r="FM140">
            <v>1</v>
          </cell>
          <cell r="FN140" t="str">
            <v>1</v>
          </cell>
          <cell r="FO140" t="str">
            <v>1</v>
          </cell>
          <cell r="FP140">
            <v>2</v>
          </cell>
          <cell r="FQ140" t="str">
            <v>21</v>
          </cell>
        </row>
        <row r="141">
          <cell r="F141" t="str">
            <v>박성태</v>
          </cell>
          <cell r="CB141">
            <v>1</v>
          </cell>
          <cell r="CC141">
            <v>1</v>
          </cell>
          <cell r="CD141">
            <v>1</v>
          </cell>
          <cell r="CE141" t="str">
            <v>(2일)</v>
          </cell>
          <cell r="DQ141">
            <v>3</v>
          </cell>
          <cell r="DR141">
            <v>3</v>
          </cell>
          <cell r="EX141">
            <v>3</v>
          </cell>
          <cell r="EY141">
            <v>3</v>
          </cell>
          <cell r="EZ141">
            <v>3</v>
          </cell>
          <cell r="FD141">
            <v>13</v>
          </cell>
          <cell r="FE141">
            <v>0</v>
          </cell>
          <cell r="FF141">
            <v>5</v>
          </cell>
          <cell r="FG141">
            <v>2</v>
          </cell>
          <cell r="FH141">
            <v>9</v>
          </cell>
          <cell r="FI141">
            <v>11</v>
          </cell>
          <cell r="FJ141">
            <v>24</v>
          </cell>
          <cell r="FK141">
            <v>13</v>
          </cell>
          <cell r="FL141">
            <v>16</v>
          </cell>
          <cell r="FM141">
            <v>-3</v>
          </cell>
          <cell r="FN141" t="str">
            <v>0</v>
          </cell>
          <cell r="FO141" t="str">
            <v>1</v>
          </cell>
          <cell r="FP141">
            <v>1</v>
          </cell>
          <cell r="FQ141" t="str">
            <v>21</v>
          </cell>
        </row>
        <row r="142">
          <cell r="F142" t="str">
            <v>배대인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 t="str">
            <v>(5일)</v>
          </cell>
          <cell r="AL142">
            <v>1</v>
          </cell>
          <cell r="AM142" t="str">
            <v>(1일)</v>
          </cell>
          <cell r="BU142">
            <v>1</v>
          </cell>
          <cell r="BV142">
            <v>1</v>
          </cell>
          <cell r="BW142">
            <v>1</v>
          </cell>
          <cell r="BX142" t="str">
            <v>(2일)</v>
          </cell>
          <cell r="DO142">
            <v>3</v>
          </cell>
          <cell r="DP142">
            <v>3</v>
          </cell>
          <cell r="EZ142" t="str">
            <v>(2일)</v>
          </cell>
          <cell r="FA142">
            <v>1</v>
          </cell>
          <cell r="FB142">
            <v>1</v>
          </cell>
          <cell r="FD142">
            <v>17</v>
          </cell>
          <cell r="FE142">
            <v>0</v>
          </cell>
          <cell r="FF142">
            <v>2</v>
          </cell>
          <cell r="FG142">
            <v>10</v>
          </cell>
          <cell r="FH142">
            <v>4.5</v>
          </cell>
          <cell r="FI142">
            <v>14.5</v>
          </cell>
          <cell r="FJ142">
            <v>23</v>
          </cell>
          <cell r="FK142">
            <v>8.5</v>
          </cell>
          <cell r="FL142">
            <v>16</v>
          </cell>
          <cell r="FM142">
            <v>-7.5</v>
          </cell>
          <cell r="FN142" t="str">
            <v>0</v>
          </cell>
          <cell r="FO142" t="str">
            <v>1</v>
          </cell>
          <cell r="FP142">
            <v>1</v>
          </cell>
          <cell r="FQ142" t="str">
            <v>21</v>
          </cell>
        </row>
        <row r="143">
          <cell r="F143" t="str">
            <v>우석범</v>
          </cell>
          <cell r="CW143">
            <v>1</v>
          </cell>
          <cell r="CX143">
            <v>1</v>
          </cell>
          <cell r="CY143" t="str">
            <v>(2일)</v>
          </cell>
          <cell r="EC143">
            <v>3</v>
          </cell>
          <cell r="ED143">
            <v>3</v>
          </cell>
          <cell r="FD143">
            <v>11</v>
          </cell>
          <cell r="FE143">
            <v>0</v>
          </cell>
          <cell r="FF143">
            <v>2</v>
          </cell>
          <cell r="FG143">
            <v>2</v>
          </cell>
          <cell r="FH143">
            <v>7.5</v>
          </cell>
          <cell r="FI143">
            <v>9.5</v>
          </cell>
          <cell r="FJ143">
            <v>24</v>
          </cell>
          <cell r="FK143">
            <v>14.5</v>
          </cell>
          <cell r="FL143">
            <v>16</v>
          </cell>
          <cell r="FM143">
            <v>-1.5</v>
          </cell>
          <cell r="FN143" t="str">
            <v>0</v>
          </cell>
          <cell r="FO143" t="str">
            <v>1</v>
          </cell>
          <cell r="FP143">
            <v>1</v>
          </cell>
          <cell r="FQ143" t="str">
            <v>21</v>
          </cell>
        </row>
        <row r="144">
          <cell r="F144" t="str">
            <v>윤기원</v>
          </cell>
          <cell r="CM144">
            <v>1</v>
          </cell>
          <cell r="CN144">
            <v>1</v>
          </cell>
          <cell r="CO144">
            <v>1</v>
          </cell>
          <cell r="CP144" t="str">
            <v>(3일)</v>
          </cell>
          <cell r="DQ144">
            <v>3</v>
          </cell>
          <cell r="DR144">
            <v>3</v>
          </cell>
          <cell r="FD144">
            <v>14</v>
          </cell>
          <cell r="FE144">
            <v>0</v>
          </cell>
          <cell r="FF144">
            <v>2</v>
          </cell>
          <cell r="FG144">
            <v>3</v>
          </cell>
          <cell r="FH144">
            <v>9.5</v>
          </cell>
          <cell r="FI144">
            <v>12.5</v>
          </cell>
          <cell r="FJ144">
            <v>24</v>
          </cell>
          <cell r="FK144">
            <v>11.5</v>
          </cell>
          <cell r="FL144">
            <v>16</v>
          </cell>
          <cell r="FM144">
            <v>-4.5</v>
          </cell>
          <cell r="FN144" t="str">
            <v>0</v>
          </cell>
          <cell r="FO144" t="str">
            <v>1</v>
          </cell>
          <cell r="FP144">
            <v>1</v>
          </cell>
          <cell r="FQ144" t="str">
            <v>21</v>
          </cell>
        </row>
        <row r="145">
          <cell r="F145" t="str">
            <v>이옥신</v>
          </cell>
          <cell r="N145">
            <v>1</v>
          </cell>
          <cell r="O145">
            <v>1</v>
          </cell>
          <cell r="P145">
            <v>1</v>
          </cell>
          <cell r="Q145">
            <v>1</v>
          </cell>
          <cell r="R145">
            <v>1</v>
          </cell>
          <cell r="S145">
            <v>1</v>
          </cell>
          <cell r="T145" t="str">
            <v>(3일)</v>
          </cell>
          <cell r="CG145">
            <v>1</v>
          </cell>
          <cell r="CH145" t="str">
            <v>(1일)</v>
          </cell>
          <cell r="DV145">
            <v>3</v>
          </cell>
          <cell r="DW145">
            <v>3</v>
          </cell>
          <cell r="EO145">
            <v>1</v>
          </cell>
          <cell r="EP145" t="str">
            <v>(1일)</v>
          </cell>
          <cell r="FD145">
            <v>13</v>
          </cell>
          <cell r="FE145">
            <v>0</v>
          </cell>
          <cell r="FF145">
            <v>2</v>
          </cell>
          <cell r="FG145">
            <v>5</v>
          </cell>
          <cell r="FH145">
            <v>4</v>
          </cell>
          <cell r="FI145">
            <v>9</v>
          </cell>
          <cell r="FJ145">
            <v>25</v>
          </cell>
          <cell r="FK145">
            <v>16</v>
          </cell>
          <cell r="FL145">
            <v>16</v>
          </cell>
          <cell r="FM145">
            <v>0</v>
          </cell>
          <cell r="FN145" t="str">
            <v>0</v>
          </cell>
          <cell r="FO145" t="str">
            <v>1</v>
          </cell>
          <cell r="FP145">
            <v>1</v>
          </cell>
          <cell r="FQ145" t="str">
            <v>21</v>
          </cell>
        </row>
        <row r="146">
          <cell r="F146" t="str">
            <v>이정우</v>
          </cell>
          <cell r="AV146">
            <v>1</v>
          </cell>
          <cell r="AW146" t="str">
            <v>(1일)</v>
          </cell>
          <cell r="BU146">
            <v>1</v>
          </cell>
          <cell r="BV146" t="str">
            <v>(1일)</v>
          </cell>
          <cell r="DV146">
            <v>3</v>
          </cell>
          <cell r="DW146">
            <v>3</v>
          </cell>
          <cell r="FD146">
            <v>9</v>
          </cell>
          <cell r="FE146">
            <v>0</v>
          </cell>
          <cell r="FF146">
            <v>5</v>
          </cell>
          <cell r="FG146">
            <v>2</v>
          </cell>
          <cell r="FH146">
            <v>6</v>
          </cell>
          <cell r="FI146">
            <v>8</v>
          </cell>
          <cell r="FJ146">
            <v>23</v>
          </cell>
          <cell r="FK146">
            <v>15</v>
          </cell>
          <cell r="FL146">
            <v>16</v>
          </cell>
          <cell r="FM146">
            <v>-1</v>
          </cell>
          <cell r="FN146" t="str">
            <v>0</v>
          </cell>
          <cell r="FO146" t="str">
            <v>1</v>
          </cell>
          <cell r="FP146">
            <v>1</v>
          </cell>
          <cell r="FQ146" t="str">
            <v>21</v>
          </cell>
        </row>
        <row r="147">
          <cell r="F147" t="str">
            <v>임낙위</v>
          </cell>
          <cell r="N147">
            <v>1</v>
          </cell>
          <cell r="O147">
            <v>1</v>
          </cell>
          <cell r="P147">
            <v>1</v>
          </cell>
          <cell r="Q147">
            <v>1</v>
          </cell>
          <cell r="R147">
            <v>1</v>
          </cell>
          <cell r="S147">
            <v>1</v>
          </cell>
          <cell r="T147" t="str">
            <v>(5일)</v>
          </cell>
          <cell r="BY147">
            <v>1</v>
          </cell>
          <cell r="BZ147">
            <v>1</v>
          </cell>
          <cell r="CA147">
            <v>1</v>
          </cell>
          <cell r="CB147" t="str">
            <v>(3일)</v>
          </cell>
          <cell r="EE147">
            <v>3</v>
          </cell>
          <cell r="EF147">
            <v>3</v>
          </cell>
          <cell r="FD147">
            <v>10</v>
          </cell>
          <cell r="FE147">
            <v>0</v>
          </cell>
          <cell r="FF147">
            <v>2</v>
          </cell>
          <cell r="FG147">
            <v>8</v>
          </cell>
          <cell r="FH147">
            <v>1</v>
          </cell>
          <cell r="FI147">
            <v>9</v>
          </cell>
          <cell r="FJ147">
            <v>25</v>
          </cell>
          <cell r="FK147">
            <v>16</v>
          </cell>
          <cell r="FL147">
            <v>16</v>
          </cell>
          <cell r="FM147">
            <v>0</v>
          </cell>
          <cell r="FN147" t="str">
            <v>0</v>
          </cell>
          <cell r="FO147" t="str">
            <v>1</v>
          </cell>
          <cell r="FP147">
            <v>1</v>
          </cell>
          <cell r="FQ147" t="str">
            <v>21</v>
          </cell>
        </row>
        <row r="148">
          <cell r="F148" t="str">
            <v>정태호</v>
          </cell>
          <cell r="BU148">
            <v>1</v>
          </cell>
          <cell r="BV148">
            <v>1</v>
          </cell>
          <cell r="BW148">
            <v>1</v>
          </cell>
          <cell r="BX148" t="str">
            <v>(2일)</v>
          </cell>
          <cell r="EC148">
            <v>3</v>
          </cell>
          <cell r="ED148">
            <v>3</v>
          </cell>
          <cell r="FD148">
            <v>12</v>
          </cell>
          <cell r="FE148">
            <v>0</v>
          </cell>
          <cell r="FF148">
            <v>2</v>
          </cell>
          <cell r="FG148">
            <v>2</v>
          </cell>
          <cell r="FH148">
            <v>7.5</v>
          </cell>
          <cell r="FI148">
            <v>9.5</v>
          </cell>
          <cell r="FJ148">
            <v>24</v>
          </cell>
          <cell r="FK148">
            <v>14.5</v>
          </cell>
          <cell r="FL148">
            <v>16</v>
          </cell>
          <cell r="FM148">
            <v>-1.5</v>
          </cell>
          <cell r="FN148" t="str">
            <v>0</v>
          </cell>
          <cell r="FO148" t="str">
            <v>1</v>
          </cell>
          <cell r="FP148">
            <v>1</v>
          </cell>
          <cell r="FQ148" t="str">
            <v>21</v>
          </cell>
        </row>
        <row r="149">
          <cell r="F149" t="str">
            <v>천창업</v>
          </cell>
          <cell r="U149">
            <v>1</v>
          </cell>
          <cell r="V149">
            <v>1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 t="str">
            <v>(4일)</v>
          </cell>
          <cell r="AI149">
            <v>1</v>
          </cell>
          <cell r="AJ149">
            <v>1</v>
          </cell>
          <cell r="AK149" t="str">
            <v>(2일)</v>
          </cell>
          <cell r="CF149">
            <v>1</v>
          </cell>
          <cell r="CG149">
            <v>1</v>
          </cell>
          <cell r="CH149">
            <v>1</v>
          </cell>
          <cell r="CI149" t="str">
            <v>(3일)</v>
          </cell>
          <cell r="EC149">
            <v>3</v>
          </cell>
          <cell r="ED149">
            <v>3</v>
          </cell>
          <cell r="FD149">
            <v>11</v>
          </cell>
          <cell r="FE149">
            <v>0</v>
          </cell>
          <cell r="FF149">
            <v>2</v>
          </cell>
          <cell r="FG149">
            <v>9</v>
          </cell>
          <cell r="FH149">
            <v>0</v>
          </cell>
          <cell r="FI149">
            <v>9</v>
          </cell>
          <cell r="FJ149">
            <v>19</v>
          </cell>
          <cell r="FK149">
            <v>10</v>
          </cell>
          <cell r="FL149">
            <v>16</v>
          </cell>
          <cell r="FM149">
            <v>-6</v>
          </cell>
          <cell r="FN149" t="str">
            <v>0</v>
          </cell>
          <cell r="FO149" t="str">
            <v>1</v>
          </cell>
          <cell r="FP149">
            <v>1</v>
          </cell>
          <cell r="FQ149">
            <v>20</v>
          </cell>
        </row>
        <row r="150">
          <cell r="F150" t="str">
            <v>최한구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 t="str">
            <v>(5일)</v>
          </cell>
          <cell r="BY150">
            <v>1</v>
          </cell>
          <cell r="BZ150">
            <v>1</v>
          </cell>
          <cell r="CA150">
            <v>1</v>
          </cell>
          <cell r="CB150" t="str">
            <v>(3일)</v>
          </cell>
          <cell r="DV150">
            <v>3</v>
          </cell>
          <cell r="DW150">
            <v>3</v>
          </cell>
          <cell r="DZ150">
            <v>0.5</v>
          </cell>
          <cell r="FD150">
            <v>14</v>
          </cell>
          <cell r="FE150">
            <v>0</v>
          </cell>
          <cell r="FF150">
            <v>2</v>
          </cell>
          <cell r="FG150">
            <v>8.5</v>
          </cell>
          <cell r="FH150">
            <v>3</v>
          </cell>
          <cell r="FI150">
            <v>11.5</v>
          </cell>
          <cell r="FJ150">
            <v>24</v>
          </cell>
          <cell r="FK150">
            <v>12.5</v>
          </cell>
          <cell r="FL150">
            <v>16</v>
          </cell>
          <cell r="FM150">
            <v>-3.5</v>
          </cell>
          <cell r="FN150" t="str">
            <v>0</v>
          </cell>
          <cell r="FO150" t="str">
            <v>1</v>
          </cell>
          <cell r="FP150">
            <v>1</v>
          </cell>
          <cell r="FQ150" t="str">
            <v>21</v>
          </cell>
        </row>
        <row r="151">
          <cell r="F151" t="str">
            <v>김청수</v>
          </cell>
          <cell r="BH151">
            <v>2</v>
          </cell>
          <cell r="DS151">
            <v>3</v>
          </cell>
          <cell r="DT151">
            <v>3</v>
          </cell>
          <cell r="FD151">
            <v>3</v>
          </cell>
          <cell r="FE151">
            <v>1</v>
          </cell>
          <cell r="FF151">
            <v>2</v>
          </cell>
          <cell r="FG151">
            <v>0</v>
          </cell>
          <cell r="FH151">
            <v>3</v>
          </cell>
          <cell r="FI151">
            <v>3</v>
          </cell>
          <cell r="FJ151">
            <v>16</v>
          </cell>
          <cell r="FK151">
            <v>13</v>
          </cell>
          <cell r="FL151">
            <v>16</v>
          </cell>
          <cell r="FM151">
            <v>-3</v>
          </cell>
          <cell r="FN151" t="str">
            <v>0</v>
          </cell>
          <cell r="FO151" t="str">
            <v>0</v>
          </cell>
          <cell r="FP151">
            <v>0</v>
          </cell>
          <cell r="FQ151">
            <v>16</v>
          </cell>
        </row>
        <row r="152">
          <cell r="F152" t="str">
            <v>허인기</v>
          </cell>
          <cell r="FD152">
            <v>3</v>
          </cell>
          <cell r="FE152">
            <v>0</v>
          </cell>
          <cell r="FF152">
            <v>0</v>
          </cell>
          <cell r="FH152">
            <v>0.5</v>
          </cell>
          <cell r="FI152">
            <v>0.5</v>
          </cell>
          <cell r="FJ152">
            <v>23</v>
          </cell>
          <cell r="FK152">
            <v>22.5</v>
          </cell>
          <cell r="FL152">
            <v>16</v>
          </cell>
          <cell r="FM152">
            <v>6.5</v>
          </cell>
          <cell r="FN152" t="str">
            <v>1</v>
          </cell>
          <cell r="FO152" t="str">
            <v>1</v>
          </cell>
          <cell r="FP152">
            <v>2</v>
          </cell>
          <cell r="FQ152" t="str">
            <v>21</v>
          </cell>
        </row>
        <row r="153">
          <cell r="F153" t="str">
            <v>경규환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 t="str">
            <v>(5일)</v>
          </cell>
          <cell r="BY153">
            <v>1</v>
          </cell>
          <cell r="BZ153">
            <v>1</v>
          </cell>
          <cell r="CA153">
            <v>1</v>
          </cell>
          <cell r="CB153" t="str">
            <v>(3일)</v>
          </cell>
          <cell r="EC153">
            <v>3</v>
          </cell>
          <cell r="ED153">
            <v>3</v>
          </cell>
          <cell r="FD153">
            <v>12</v>
          </cell>
          <cell r="FE153">
            <v>0</v>
          </cell>
          <cell r="FF153">
            <v>2</v>
          </cell>
          <cell r="FG153">
            <v>8</v>
          </cell>
          <cell r="FH153">
            <v>2</v>
          </cell>
          <cell r="FI153">
            <v>10</v>
          </cell>
          <cell r="FJ153">
            <v>24</v>
          </cell>
          <cell r="FK153">
            <v>14</v>
          </cell>
          <cell r="FL153">
            <v>16</v>
          </cell>
          <cell r="FM153">
            <v>-2</v>
          </cell>
          <cell r="FN153" t="str">
            <v>0</v>
          </cell>
          <cell r="FO153" t="str">
            <v>1</v>
          </cell>
          <cell r="FP153">
            <v>1</v>
          </cell>
          <cell r="FQ153" t="str">
            <v>21</v>
          </cell>
        </row>
        <row r="154">
          <cell r="F154" t="str">
            <v>고석환</v>
          </cell>
          <cell r="G154">
            <v>1</v>
          </cell>
          <cell r="H154" t="str">
            <v>(1일)</v>
          </cell>
          <cell r="X154">
            <v>1</v>
          </cell>
          <cell r="Y154">
            <v>1</v>
          </cell>
          <cell r="Z154" t="str">
            <v>(2일)</v>
          </cell>
          <cell r="BR154">
            <v>1</v>
          </cell>
          <cell r="BS154">
            <v>1</v>
          </cell>
          <cell r="BT154">
            <v>1</v>
          </cell>
          <cell r="BU154" t="str">
            <v>(2일)</v>
          </cell>
          <cell r="EC154">
            <v>3</v>
          </cell>
          <cell r="ED154">
            <v>3</v>
          </cell>
          <cell r="FD154">
            <v>9</v>
          </cell>
          <cell r="FE154">
            <v>0</v>
          </cell>
          <cell r="FF154">
            <v>2</v>
          </cell>
          <cell r="FG154">
            <v>5</v>
          </cell>
          <cell r="FH154">
            <v>2.5</v>
          </cell>
          <cell r="FI154">
            <v>7.5</v>
          </cell>
          <cell r="FJ154">
            <v>25</v>
          </cell>
          <cell r="FK154">
            <v>17.5</v>
          </cell>
          <cell r="FL154">
            <v>16</v>
          </cell>
          <cell r="FM154">
            <v>1.5</v>
          </cell>
          <cell r="FN154" t="str">
            <v>1</v>
          </cell>
          <cell r="FO154" t="str">
            <v>1</v>
          </cell>
          <cell r="FP154">
            <v>2</v>
          </cell>
          <cell r="FQ154" t="str">
            <v>21</v>
          </cell>
        </row>
        <row r="155">
          <cell r="F155" t="str">
            <v>곽호신</v>
          </cell>
          <cell r="BH155">
            <v>1</v>
          </cell>
          <cell r="BI155">
            <v>1</v>
          </cell>
          <cell r="BJ155">
            <v>1</v>
          </cell>
          <cell r="BK155" t="str">
            <v>(1일)</v>
          </cell>
          <cell r="DV155">
            <v>3</v>
          </cell>
          <cell r="DW155">
            <v>3</v>
          </cell>
          <cell r="FD155">
            <v>9</v>
          </cell>
          <cell r="FE155">
            <v>0</v>
          </cell>
          <cell r="FF155">
            <v>7</v>
          </cell>
          <cell r="FG155">
            <v>1</v>
          </cell>
          <cell r="FH155">
            <v>5</v>
          </cell>
          <cell r="FI155">
            <v>6</v>
          </cell>
          <cell r="FJ155">
            <v>24</v>
          </cell>
          <cell r="FK155">
            <v>18</v>
          </cell>
          <cell r="FL155">
            <v>16</v>
          </cell>
          <cell r="FM155">
            <v>2</v>
          </cell>
          <cell r="FN155" t="str">
            <v>1</v>
          </cell>
          <cell r="FO155" t="str">
            <v>1</v>
          </cell>
          <cell r="FP155">
            <v>2</v>
          </cell>
          <cell r="FQ155" t="str">
            <v>21</v>
          </cell>
        </row>
        <row r="156">
          <cell r="F156" t="str">
            <v>권선영</v>
          </cell>
          <cell r="AP156">
            <v>1</v>
          </cell>
          <cell r="AQ156">
            <v>1</v>
          </cell>
          <cell r="AR156">
            <v>1</v>
          </cell>
          <cell r="AS156" t="str">
            <v>(3일)</v>
          </cell>
          <cell r="DZ156">
            <v>1</v>
          </cell>
          <cell r="EA156">
            <v>1</v>
          </cell>
          <cell r="EB156" t="str">
            <v>(1일)</v>
          </cell>
          <cell r="EG156">
            <v>3</v>
          </cell>
          <cell r="EH156">
            <v>3</v>
          </cell>
          <cell r="FD156">
            <v>12</v>
          </cell>
          <cell r="FE156">
            <v>0</v>
          </cell>
          <cell r="FF156">
            <v>2</v>
          </cell>
          <cell r="FG156">
            <v>4</v>
          </cell>
          <cell r="FH156">
            <v>5</v>
          </cell>
          <cell r="FI156">
            <v>9</v>
          </cell>
          <cell r="FJ156">
            <v>25</v>
          </cell>
          <cell r="FK156">
            <v>16</v>
          </cell>
          <cell r="FL156">
            <v>16</v>
          </cell>
          <cell r="FM156">
            <v>0</v>
          </cell>
          <cell r="FN156" t="str">
            <v>0</v>
          </cell>
          <cell r="FO156" t="str">
            <v>1</v>
          </cell>
          <cell r="FP156">
            <v>1</v>
          </cell>
          <cell r="FQ156" t="str">
            <v>21</v>
          </cell>
        </row>
        <row r="157">
          <cell r="F157" t="str">
            <v>김광일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 t="str">
            <v>(5일)</v>
          </cell>
          <cell r="CF157">
            <v>1</v>
          </cell>
          <cell r="CG157">
            <v>1</v>
          </cell>
          <cell r="CH157">
            <v>1</v>
          </cell>
          <cell r="CI157" t="str">
            <v>(3일)</v>
          </cell>
          <cell r="DQ157">
            <v>3</v>
          </cell>
          <cell r="DR157">
            <v>3</v>
          </cell>
          <cell r="FD157">
            <v>10</v>
          </cell>
          <cell r="FE157">
            <v>0</v>
          </cell>
          <cell r="FF157">
            <v>6</v>
          </cell>
          <cell r="FG157">
            <v>8</v>
          </cell>
          <cell r="FH157">
            <v>1</v>
          </cell>
          <cell r="FI157">
            <v>9</v>
          </cell>
          <cell r="FJ157">
            <v>25</v>
          </cell>
          <cell r="FK157">
            <v>16</v>
          </cell>
          <cell r="FL157">
            <v>16</v>
          </cell>
          <cell r="FM157">
            <v>0</v>
          </cell>
          <cell r="FN157" t="str">
            <v>0</v>
          </cell>
          <cell r="FO157" t="str">
            <v>1</v>
          </cell>
          <cell r="FP157">
            <v>1</v>
          </cell>
          <cell r="FQ157" t="str">
            <v>21</v>
          </cell>
        </row>
        <row r="158">
          <cell r="F158" t="str">
            <v>김병주</v>
          </cell>
          <cell r="G158">
            <v>1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 t="str">
            <v>(5일)</v>
          </cell>
          <cell r="EE158">
            <v>3</v>
          </cell>
          <cell r="EF158">
            <v>3</v>
          </cell>
          <cell r="FD158">
            <v>9</v>
          </cell>
          <cell r="FE158">
            <v>0</v>
          </cell>
          <cell r="FF158">
            <v>2</v>
          </cell>
          <cell r="FG158">
            <v>5</v>
          </cell>
          <cell r="FH158">
            <v>2.5</v>
          </cell>
          <cell r="FI158">
            <v>7.5</v>
          </cell>
          <cell r="FJ158">
            <v>24</v>
          </cell>
          <cell r="FK158">
            <v>16.5</v>
          </cell>
          <cell r="FL158">
            <v>16</v>
          </cell>
          <cell r="FM158">
            <v>0.5</v>
          </cell>
          <cell r="FN158" t="str">
            <v>0</v>
          </cell>
          <cell r="FO158" t="str">
            <v>1</v>
          </cell>
          <cell r="FP158">
            <v>1</v>
          </cell>
          <cell r="FQ158" t="str">
            <v>21</v>
          </cell>
        </row>
        <row r="159">
          <cell r="F159" t="str">
            <v>박종경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M159">
            <v>1</v>
          </cell>
          <cell r="AN159" t="str">
            <v>(5일)</v>
          </cell>
          <cell r="CB159">
            <v>1</v>
          </cell>
          <cell r="CC159">
            <v>1</v>
          </cell>
          <cell r="CD159">
            <v>1</v>
          </cell>
          <cell r="CE159">
            <v>1</v>
          </cell>
          <cell r="CF159" t="str">
            <v>(2일)</v>
          </cell>
          <cell r="DZ159">
            <v>3</v>
          </cell>
          <cell r="EA159">
            <v>3</v>
          </cell>
          <cell r="EM159">
            <v>1</v>
          </cell>
          <cell r="EN159" t="str">
            <v>(1일)</v>
          </cell>
          <cell r="FD159">
            <v>14</v>
          </cell>
          <cell r="FE159">
            <v>0</v>
          </cell>
          <cell r="FF159">
            <v>2</v>
          </cell>
          <cell r="FG159">
            <v>8</v>
          </cell>
          <cell r="FH159">
            <v>3</v>
          </cell>
          <cell r="FI159">
            <v>11</v>
          </cell>
          <cell r="FJ159">
            <v>24</v>
          </cell>
          <cell r="FK159">
            <v>13</v>
          </cell>
          <cell r="FL159">
            <v>16</v>
          </cell>
          <cell r="FM159">
            <v>-3</v>
          </cell>
          <cell r="FN159" t="str">
            <v>0</v>
          </cell>
          <cell r="FO159" t="str">
            <v>1</v>
          </cell>
          <cell r="FP159">
            <v>1</v>
          </cell>
          <cell r="FQ159" t="str">
            <v>21</v>
          </cell>
        </row>
        <row r="160">
          <cell r="F160" t="str">
            <v>손명래</v>
          </cell>
          <cell r="CM160">
            <v>1</v>
          </cell>
          <cell r="CN160">
            <v>1</v>
          </cell>
          <cell r="CO160">
            <v>1</v>
          </cell>
          <cell r="CP160" t="str">
            <v>(3일)</v>
          </cell>
          <cell r="DO160">
            <v>1</v>
          </cell>
          <cell r="DP160">
            <v>1</v>
          </cell>
          <cell r="DQ160">
            <v>1</v>
          </cell>
          <cell r="DR160" t="str">
            <v>(3일)</v>
          </cell>
          <cell r="FD160">
            <v>7</v>
          </cell>
          <cell r="FE160">
            <v>0</v>
          </cell>
          <cell r="FF160">
            <v>0</v>
          </cell>
          <cell r="FG160">
            <v>6</v>
          </cell>
          <cell r="FH160">
            <v>1</v>
          </cell>
          <cell r="FI160">
            <v>7</v>
          </cell>
          <cell r="FJ160">
            <v>24</v>
          </cell>
          <cell r="FK160">
            <v>17</v>
          </cell>
          <cell r="FL160">
            <v>16</v>
          </cell>
          <cell r="FM160">
            <v>1</v>
          </cell>
          <cell r="FN160" t="str">
            <v>1</v>
          </cell>
          <cell r="FO160" t="str">
            <v>1</v>
          </cell>
          <cell r="FP160">
            <v>2</v>
          </cell>
          <cell r="FQ160" t="str">
            <v>21</v>
          </cell>
        </row>
        <row r="161">
          <cell r="F161" t="str">
            <v>신성태</v>
          </cell>
          <cell r="N161">
            <v>1</v>
          </cell>
          <cell r="O161" t="str">
            <v>(1일)</v>
          </cell>
          <cell r="Y161">
            <v>1</v>
          </cell>
          <cell r="Z161" t="str">
            <v>(1일)</v>
          </cell>
          <cell r="CC161">
            <v>3</v>
          </cell>
          <cell r="CD161">
            <v>3</v>
          </cell>
          <cell r="CE161">
            <v>3</v>
          </cell>
          <cell r="CF161">
            <v>3</v>
          </cell>
          <cell r="CG161">
            <v>3</v>
          </cell>
          <cell r="CH161">
            <v>3</v>
          </cell>
          <cell r="CI161">
            <v>3</v>
          </cell>
          <cell r="CM161">
            <v>1</v>
          </cell>
          <cell r="CN161">
            <v>1</v>
          </cell>
          <cell r="CO161">
            <v>1</v>
          </cell>
          <cell r="CP161" t="str">
            <v>(3일)</v>
          </cell>
          <cell r="DO161">
            <v>1</v>
          </cell>
          <cell r="DP161">
            <v>1</v>
          </cell>
          <cell r="DQ161">
            <v>1</v>
          </cell>
          <cell r="DR161" t="str">
            <v>(3일)</v>
          </cell>
          <cell r="EE161">
            <v>3</v>
          </cell>
          <cell r="EF161">
            <v>3</v>
          </cell>
          <cell r="FD161">
            <v>14</v>
          </cell>
          <cell r="FE161">
            <v>0</v>
          </cell>
          <cell r="FF161">
            <v>12</v>
          </cell>
          <cell r="FG161">
            <v>8</v>
          </cell>
          <cell r="FH161">
            <v>4</v>
          </cell>
          <cell r="FI161">
            <v>12</v>
          </cell>
          <cell r="FJ161">
            <v>24</v>
          </cell>
          <cell r="FK161">
            <v>12</v>
          </cell>
          <cell r="FL161">
            <v>16</v>
          </cell>
          <cell r="FM161">
            <v>-4</v>
          </cell>
          <cell r="FN161" t="str">
            <v>0</v>
          </cell>
          <cell r="FO161" t="str">
            <v>1</v>
          </cell>
          <cell r="FP161">
            <v>1</v>
          </cell>
          <cell r="FQ161" t="str">
            <v>21</v>
          </cell>
        </row>
        <row r="162">
          <cell r="F162" t="str">
            <v>원현희</v>
          </cell>
          <cell r="G162">
            <v>1</v>
          </cell>
          <cell r="H162">
            <v>1</v>
          </cell>
          <cell r="I162" t="str">
            <v>(2일)</v>
          </cell>
          <cell r="CF162">
            <v>1</v>
          </cell>
          <cell r="CG162">
            <v>1</v>
          </cell>
          <cell r="CH162">
            <v>1</v>
          </cell>
          <cell r="CI162" t="str">
            <v>(3일)</v>
          </cell>
          <cell r="DV162">
            <v>3</v>
          </cell>
          <cell r="DW162">
            <v>3</v>
          </cell>
          <cell r="FD162">
            <v>11</v>
          </cell>
          <cell r="FE162">
            <v>0</v>
          </cell>
          <cell r="FF162">
            <v>2</v>
          </cell>
          <cell r="FG162">
            <v>5</v>
          </cell>
          <cell r="FH162">
            <v>3</v>
          </cell>
          <cell r="FI162">
            <v>8</v>
          </cell>
          <cell r="FJ162">
            <v>23</v>
          </cell>
          <cell r="FK162">
            <v>15</v>
          </cell>
          <cell r="FL162">
            <v>16</v>
          </cell>
          <cell r="FM162">
            <v>-1</v>
          </cell>
          <cell r="FN162" t="str">
            <v>0</v>
          </cell>
          <cell r="FO162" t="str">
            <v>1</v>
          </cell>
          <cell r="FP162">
            <v>1</v>
          </cell>
          <cell r="FQ162" t="str">
            <v>21</v>
          </cell>
        </row>
        <row r="163">
          <cell r="F163" t="str">
            <v>이구봉</v>
          </cell>
          <cell r="N163">
            <v>1</v>
          </cell>
          <cell r="O163">
            <v>1</v>
          </cell>
          <cell r="P163">
            <v>1</v>
          </cell>
          <cell r="Q163">
            <v>1</v>
          </cell>
          <cell r="R163">
            <v>1</v>
          </cell>
          <cell r="S163">
            <v>1</v>
          </cell>
          <cell r="T163" t="str">
            <v>(5일)</v>
          </cell>
          <cell r="CP163">
            <v>1</v>
          </cell>
          <cell r="CQ163">
            <v>1</v>
          </cell>
          <cell r="CR163">
            <v>1</v>
          </cell>
          <cell r="CS163" t="str">
            <v>(2일)</v>
          </cell>
          <cell r="EF163">
            <v>3</v>
          </cell>
          <cell r="EG163">
            <v>3</v>
          </cell>
          <cell r="FD163">
            <v>12</v>
          </cell>
          <cell r="FE163">
            <v>0</v>
          </cell>
          <cell r="FF163">
            <v>2</v>
          </cell>
          <cell r="FG163">
            <v>7</v>
          </cell>
          <cell r="FH163">
            <v>2</v>
          </cell>
          <cell r="FI163">
            <v>9</v>
          </cell>
          <cell r="FJ163">
            <v>25</v>
          </cell>
          <cell r="FK163">
            <v>16</v>
          </cell>
          <cell r="FL163">
            <v>16</v>
          </cell>
          <cell r="FM163">
            <v>0</v>
          </cell>
          <cell r="FN163" t="str">
            <v>0</v>
          </cell>
          <cell r="FO163" t="str">
            <v>1</v>
          </cell>
          <cell r="FP163">
            <v>1</v>
          </cell>
          <cell r="FQ163" t="str">
            <v>21</v>
          </cell>
        </row>
        <row r="164">
          <cell r="F164" t="str">
            <v>최인영</v>
          </cell>
          <cell r="N164">
            <v>2</v>
          </cell>
          <cell r="Y164">
            <v>1</v>
          </cell>
          <cell r="Z164" t="str">
            <v>(1일)</v>
          </cell>
          <cell r="AR164">
            <v>4</v>
          </cell>
          <cell r="AS164">
            <v>4</v>
          </cell>
          <cell r="AT164">
            <v>4</v>
          </cell>
          <cell r="AW164">
            <v>4</v>
          </cell>
          <cell r="AX164">
            <v>4</v>
          </cell>
          <cell r="AY164">
            <v>4</v>
          </cell>
          <cell r="AZ164">
            <v>4</v>
          </cell>
          <cell r="BA164">
            <v>4</v>
          </cell>
          <cell r="BE164">
            <v>4</v>
          </cell>
          <cell r="BF164">
            <v>4</v>
          </cell>
          <cell r="BG164">
            <v>4</v>
          </cell>
          <cell r="BH164">
            <v>4</v>
          </cell>
          <cell r="BI164">
            <v>4</v>
          </cell>
          <cell r="BJ164">
            <v>4</v>
          </cell>
          <cell r="BK164">
            <v>4</v>
          </cell>
          <cell r="BL164">
            <v>4</v>
          </cell>
          <cell r="BM164">
            <v>4</v>
          </cell>
          <cell r="BN164">
            <v>4</v>
          </cell>
          <cell r="BO164">
            <v>4</v>
          </cell>
          <cell r="BP164">
            <v>4</v>
          </cell>
          <cell r="BQ164">
            <v>4</v>
          </cell>
          <cell r="BR164">
            <v>4</v>
          </cell>
          <cell r="BS164">
            <v>4</v>
          </cell>
          <cell r="BT164">
            <v>4</v>
          </cell>
          <cell r="BU164">
            <v>4</v>
          </cell>
          <cell r="BV164">
            <v>4</v>
          </cell>
          <cell r="CC164">
            <v>4</v>
          </cell>
          <cell r="CD164">
            <v>4</v>
          </cell>
          <cell r="CE164">
            <v>4</v>
          </cell>
          <cell r="CF164">
            <v>4</v>
          </cell>
          <cell r="CG164">
            <v>4</v>
          </cell>
          <cell r="CH164">
            <v>4</v>
          </cell>
          <cell r="CI164">
            <v>4</v>
          </cell>
          <cell r="CJ164">
            <v>4</v>
          </cell>
          <cell r="CK164">
            <v>4</v>
          </cell>
          <cell r="CL164">
            <v>4</v>
          </cell>
          <cell r="CM164">
            <v>4</v>
          </cell>
          <cell r="CP164">
            <v>1</v>
          </cell>
          <cell r="CQ164">
            <v>1</v>
          </cell>
          <cell r="CR164">
            <v>1</v>
          </cell>
          <cell r="CS164" t="str">
            <v>(2일)</v>
          </cell>
          <cell r="DP164">
            <v>3</v>
          </cell>
          <cell r="DQ164">
            <v>3</v>
          </cell>
          <cell r="EX164">
            <v>1</v>
          </cell>
          <cell r="EY164" t="str">
            <v>(1일)</v>
          </cell>
          <cell r="FD164">
            <v>8</v>
          </cell>
          <cell r="FE164">
            <v>1</v>
          </cell>
          <cell r="FF164">
            <v>3</v>
          </cell>
          <cell r="FG164">
            <v>4</v>
          </cell>
          <cell r="FH164">
            <v>3</v>
          </cell>
          <cell r="FI164">
            <v>7</v>
          </cell>
          <cell r="FJ164">
            <v>24</v>
          </cell>
          <cell r="FK164">
            <v>17</v>
          </cell>
          <cell r="FL164">
            <v>16</v>
          </cell>
          <cell r="FM164">
            <v>1</v>
          </cell>
          <cell r="FN164" t="str">
            <v>1</v>
          </cell>
          <cell r="FO164" t="str">
            <v>0</v>
          </cell>
          <cell r="FP164">
            <v>1</v>
          </cell>
          <cell r="FQ164" t="str">
            <v>21</v>
          </cell>
        </row>
        <row r="165">
          <cell r="F165" t="str">
            <v>권순영</v>
          </cell>
          <cell r="G165">
            <v>1</v>
          </cell>
          <cell r="H165">
            <v>1</v>
          </cell>
          <cell r="I165">
            <v>1</v>
          </cell>
          <cell r="J165" t="str">
            <v>(3일)</v>
          </cell>
          <cell r="BP165">
            <v>1</v>
          </cell>
          <cell r="CI165">
            <v>1</v>
          </cell>
          <cell r="CJ165">
            <v>1</v>
          </cell>
          <cell r="CK165">
            <v>1</v>
          </cell>
          <cell r="CL165" t="str">
            <v>(2일)</v>
          </cell>
          <cell r="DS165">
            <v>3</v>
          </cell>
          <cell r="DT165">
            <v>3</v>
          </cell>
          <cell r="FD165">
            <v>8</v>
          </cell>
          <cell r="FE165">
            <v>0</v>
          </cell>
          <cell r="FF165">
            <v>7</v>
          </cell>
          <cell r="FG165">
            <v>5</v>
          </cell>
          <cell r="FH165">
            <v>1</v>
          </cell>
          <cell r="FI165">
            <v>6</v>
          </cell>
          <cell r="FJ165">
            <v>24</v>
          </cell>
          <cell r="FK165">
            <v>18</v>
          </cell>
          <cell r="FL165">
            <v>16</v>
          </cell>
          <cell r="FM165">
            <v>2</v>
          </cell>
          <cell r="FN165" t="str">
            <v>1</v>
          </cell>
          <cell r="FO165" t="str">
            <v>1</v>
          </cell>
          <cell r="FP165">
            <v>2</v>
          </cell>
          <cell r="FQ165" t="str">
            <v>21</v>
          </cell>
        </row>
        <row r="166">
          <cell r="F166" t="str">
            <v>신희수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 t="str">
            <v>(5일)</v>
          </cell>
          <cell r="CF166">
            <v>1</v>
          </cell>
          <cell r="CG166">
            <v>1</v>
          </cell>
          <cell r="CH166">
            <v>1</v>
          </cell>
          <cell r="CI166" t="str">
            <v>(3일)</v>
          </cell>
          <cell r="DZ166">
            <v>3</v>
          </cell>
          <cell r="EA166">
            <v>3</v>
          </cell>
          <cell r="FD166">
            <v>12</v>
          </cell>
          <cell r="FE166">
            <v>0</v>
          </cell>
          <cell r="FF166">
            <v>2</v>
          </cell>
          <cell r="FG166">
            <v>8</v>
          </cell>
          <cell r="FH166">
            <v>4</v>
          </cell>
          <cell r="FI166">
            <v>12</v>
          </cell>
          <cell r="FJ166">
            <v>23</v>
          </cell>
          <cell r="FK166">
            <v>11</v>
          </cell>
          <cell r="FL166">
            <v>16</v>
          </cell>
          <cell r="FM166">
            <v>-5</v>
          </cell>
          <cell r="FN166" t="str">
            <v>0</v>
          </cell>
          <cell r="FO166" t="str">
            <v>1</v>
          </cell>
          <cell r="FP166">
            <v>1</v>
          </cell>
          <cell r="FQ166" t="str">
            <v>21</v>
          </cell>
        </row>
        <row r="167">
          <cell r="F167" t="str">
            <v>안영</v>
          </cell>
          <cell r="CF167">
            <v>1</v>
          </cell>
          <cell r="CG167">
            <v>1</v>
          </cell>
          <cell r="CH167">
            <v>1</v>
          </cell>
          <cell r="CI167" t="str">
            <v>(3일)</v>
          </cell>
          <cell r="EE167">
            <v>3</v>
          </cell>
          <cell r="EF167">
            <v>3</v>
          </cell>
          <cell r="FD167">
            <v>7</v>
          </cell>
          <cell r="FE167">
            <v>1</v>
          </cell>
          <cell r="FF167">
            <v>2</v>
          </cell>
          <cell r="FG167">
            <v>3</v>
          </cell>
          <cell r="FH167">
            <v>3</v>
          </cell>
          <cell r="FI167">
            <v>6</v>
          </cell>
          <cell r="FJ167">
            <v>24</v>
          </cell>
          <cell r="FK167">
            <v>18</v>
          </cell>
          <cell r="FL167">
            <v>16</v>
          </cell>
          <cell r="FM167">
            <v>2</v>
          </cell>
          <cell r="FN167" t="str">
            <v>1</v>
          </cell>
          <cell r="FO167" t="str">
            <v>0</v>
          </cell>
          <cell r="FP167">
            <v>1</v>
          </cell>
          <cell r="FQ167" t="str">
            <v>21</v>
          </cell>
        </row>
        <row r="168">
          <cell r="F168" t="str">
            <v>여인호</v>
          </cell>
          <cell r="CF168">
            <v>1</v>
          </cell>
          <cell r="CG168">
            <v>1</v>
          </cell>
          <cell r="CH168">
            <v>1</v>
          </cell>
          <cell r="CI168" t="str">
            <v>(3일)</v>
          </cell>
          <cell r="EE168">
            <v>3</v>
          </cell>
          <cell r="EF168">
            <v>3</v>
          </cell>
          <cell r="FD168">
            <v>12</v>
          </cell>
          <cell r="FE168">
            <v>0</v>
          </cell>
          <cell r="FF168">
            <v>2</v>
          </cell>
          <cell r="FG168">
            <v>3</v>
          </cell>
          <cell r="FH168">
            <v>8</v>
          </cell>
          <cell r="FI168">
            <v>11</v>
          </cell>
          <cell r="FJ168">
            <v>24</v>
          </cell>
          <cell r="FK168">
            <v>13</v>
          </cell>
          <cell r="FL168">
            <v>16</v>
          </cell>
          <cell r="FM168">
            <v>-3</v>
          </cell>
          <cell r="FN168" t="str">
            <v>0</v>
          </cell>
          <cell r="FO168" t="str">
            <v>1</v>
          </cell>
          <cell r="FP168">
            <v>1</v>
          </cell>
          <cell r="FQ168" t="str">
            <v>21</v>
          </cell>
        </row>
        <row r="169">
          <cell r="F169" t="str">
            <v>오정숙</v>
          </cell>
          <cell r="CF169">
            <v>1</v>
          </cell>
          <cell r="CG169">
            <v>1</v>
          </cell>
          <cell r="CH169">
            <v>1</v>
          </cell>
          <cell r="CI169" t="str">
            <v>(3일)</v>
          </cell>
          <cell r="EE169">
            <v>3</v>
          </cell>
          <cell r="EF169">
            <v>3</v>
          </cell>
          <cell r="FD169">
            <v>15</v>
          </cell>
          <cell r="FE169">
            <v>0</v>
          </cell>
          <cell r="FF169">
            <v>2</v>
          </cell>
          <cell r="FG169">
            <v>3</v>
          </cell>
          <cell r="FH169">
            <v>8.5</v>
          </cell>
          <cell r="FI169">
            <v>11.5</v>
          </cell>
          <cell r="FJ169">
            <v>25</v>
          </cell>
          <cell r="FK169">
            <v>13.5</v>
          </cell>
          <cell r="FL169">
            <v>16</v>
          </cell>
          <cell r="FM169">
            <v>-2.5</v>
          </cell>
          <cell r="FN169" t="str">
            <v>0</v>
          </cell>
          <cell r="FO169" t="str">
            <v>1</v>
          </cell>
          <cell r="FP169">
            <v>1</v>
          </cell>
          <cell r="FQ169" t="str">
            <v>21</v>
          </cell>
        </row>
        <row r="170">
          <cell r="F170" t="str">
            <v>윤성윤</v>
          </cell>
          <cell r="G170">
            <v>1</v>
          </cell>
          <cell r="H170">
            <v>1</v>
          </cell>
          <cell r="I170">
            <v>1</v>
          </cell>
          <cell r="J170">
            <v>1</v>
          </cell>
          <cell r="K170">
            <v>1</v>
          </cell>
          <cell r="L170">
            <v>1</v>
          </cell>
          <cell r="M170" t="str">
            <v>(5일)</v>
          </cell>
          <cell r="AT170">
            <v>1</v>
          </cell>
          <cell r="AU170" t="str">
            <v>(1일)</v>
          </cell>
          <cell r="BU170">
            <v>1</v>
          </cell>
          <cell r="BV170">
            <v>1</v>
          </cell>
          <cell r="BW170">
            <v>1</v>
          </cell>
          <cell r="BX170" t="str">
            <v>(2일)</v>
          </cell>
          <cell r="EC170">
            <v>3</v>
          </cell>
          <cell r="ED170">
            <v>3</v>
          </cell>
          <cell r="FA170">
            <v>1</v>
          </cell>
          <cell r="FB170" t="str">
            <v>(1일)</v>
          </cell>
          <cell r="FD170">
            <v>11</v>
          </cell>
          <cell r="FE170">
            <v>1</v>
          </cell>
          <cell r="FF170">
            <v>2</v>
          </cell>
          <cell r="FG170">
            <v>9</v>
          </cell>
          <cell r="FH170">
            <v>0</v>
          </cell>
          <cell r="FI170">
            <v>9</v>
          </cell>
          <cell r="FJ170">
            <v>23</v>
          </cell>
          <cell r="FK170">
            <v>14</v>
          </cell>
          <cell r="FL170">
            <v>16</v>
          </cell>
          <cell r="FM170">
            <v>-2</v>
          </cell>
          <cell r="FN170" t="str">
            <v>0</v>
          </cell>
          <cell r="FO170" t="str">
            <v>0</v>
          </cell>
          <cell r="FP170">
            <v>0</v>
          </cell>
          <cell r="FQ170" t="str">
            <v>21</v>
          </cell>
        </row>
        <row r="171">
          <cell r="F171" t="str">
            <v>이채영</v>
          </cell>
          <cell r="BM171">
            <v>1</v>
          </cell>
          <cell r="BN171">
            <v>1</v>
          </cell>
          <cell r="BO171">
            <v>1</v>
          </cell>
          <cell r="BP171" t="str">
            <v>(3일)</v>
          </cell>
          <cell r="DQ171">
            <v>3</v>
          </cell>
          <cell r="DR171">
            <v>3</v>
          </cell>
          <cell r="DS171">
            <v>3</v>
          </cell>
          <cell r="FD171">
            <v>11</v>
          </cell>
          <cell r="FE171">
            <v>0</v>
          </cell>
          <cell r="FF171">
            <v>3</v>
          </cell>
          <cell r="FG171">
            <v>3</v>
          </cell>
          <cell r="FH171">
            <v>8</v>
          </cell>
          <cell r="FI171">
            <v>11</v>
          </cell>
          <cell r="FJ171">
            <v>25</v>
          </cell>
          <cell r="FK171">
            <v>14</v>
          </cell>
          <cell r="FL171">
            <v>16</v>
          </cell>
          <cell r="FM171">
            <v>-2</v>
          </cell>
          <cell r="FN171" t="str">
            <v>0</v>
          </cell>
          <cell r="FO171" t="str">
            <v>1</v>
          </cell>
          <cell r="FP171">
            <v>1</v>
          </cell>
          <cell r="FQ171" t="str">
            <v>21</v>
          </cell>
        </row>
        <row r="172">
          <cell r="F172" t="str">
            <v>전장호</v>
          </cell>
          <cell r="CW172">
            <v>1</v>
          </cell>
          <cell r="CX172">
            <v>1</v>
          </cell>
          <cell r="CY172">
            <v>1</v>
          </cell>
          <cell r="CZ172" t="str">
            <v>(2일)</v>
          </cell>
          <cell r="DQ172">
            <v>3</v>
          </cell>
          <cell r="DR172">
            <v>3</v>
          </cell>
          <cell r="FD172">
            <v>9</v>
          </cell>
          <cell r="FE172">
            <v>0</v>
          </cell>
          <cell r="FF172">
            <v>2</v>
          </cell>
          <cell r="FG172">
            <v>2</v>
          </cell>
          <cell r="FH172">
            <v>5</v>
          </cell>
          <cell r="FI172">
            <v>7</v>
          </cell>
          <cell r="FJ172">
            <v>24</v>
          </cell>
          <cell r="FK172">
            <v>17</v>
          </cell>
          <cell r="FL172">
            <v>16</v>
          </cell>
          <cell r="FM172">
            <v>1</v>
          </cell>
          <cell r="FN172" t="str">
            <v>1</v>
          </cell>
          <cell r="FO172" t="str">
            <v>1</v>
          </cell>
          <cell r="FP172">
            <v>2</v>
          </cell>
          <cell r="FQ172" t="str">
            <v>21</v>
          </cell>
        </row>
        <row r="173">
          <cell r="F173" t="str">
            <v>조성기</v>
          </cell>
          <cell r="N173">
            <v>1</v>
          </cell>
          <cell r="O173">
            <v>1</v>
          </cell>
          <cell r="P173">
            <v>1</v>
          </cell>
          <cell r="Q173">
            <v>1</v>
          </cell>
          <cell r="R173">
            <v>1</v>
          </cell>
          <cell r="S173">
            <v>1</v>
          </cell>
          <cell r="T173" t="str">
            <v>(5일)</v>
          </cell>
          <cell r="CB173">
            <v>1</v>
          </cell>
          <cell r="CC173">
            <v>1</v>
          </cell>
          <cell r="CD173">
            <v>1</v>
          </cell>
          <cell r="CE173" t="str">
            <v>(2일)</v>
          </cell>
          <cell r="CN173">
            <v>1</v>
          </cell>
          <cell r="CO173" t="str">
            <v>(1일)</v>
          </cell>
          <cell r="DS173">
            <v>3</v>
          </cell>
          <cell r="DT173">
            <v>3</v>
          </cell>
          <cell r="FD173">
            <v>13</v>
          </cell>
          <cell r="FE173">
            <v>0</v>
          </cell>
          <cell r="FF173">
            <v>2</v>
          </cell>
          <cell r="FG173">
            <v>8</v>
          </cell>
          <cell r="FH173">
            <v>2</v>
          </cell>
          <cell r="FI173">
            <v>10</v>
          </cell>
          <cell r="FJ173">
            <v>24</v>
          </cell>
          <cell r="FK173">
            <v>14</v>
          </cell>
          <cell r="FL173">
            <v>16</v>
          </cell>
          <cell r="FM173">
            <v>-2</v>
          </cell>
          <cell r="FN173" t="str">
            <v>0</v>
          </cell>
          <cell r="FO173" t="str">
            <v>1</v>
          </cell>
          <cell r="FP173">
            <v>1</v>
          </cell>
          <cell r="FQ173" t="str">
            <v>21</v>
          </cell>
        </row>
        <row r="174">
          <cell r="F174" t="str">
            <v>최재욱</v>
          </cell>
          <cell r="V174">
            <v>1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 t="str">
            <v>(4일)</v>
          </cell>
          <cell r="BO174">
            <v>3</v>
          </cell>
          <cell r="CP174">
            <v>1</v>
          </cell>
          <cell r="CQ174">
            <v>1</v>
          </cell>
          <cell r="CR174">
            <v>1</v>
          </cell>
          <cell r="CS174" t="str">
            <v>(2일)</v>
          </cell>
          <cell r="DH174">
            <v>3</v>
          </cell>
          <cell r="DI174">
            <v>3</v>
          </cell>
          <cell r="DJ174">
            <v>3</v>
          </cell>
          <cell r="FD174">
            <v>14</v>
          </cell>
          <cell r="FE174">
            <v>0</v>
          </cell>
          <cell r="FF174">
            <v>4</v>
          </cell>
          <cell r="FG174">
            <v>6</v>
          </cell>
          <cell r="FH174">
            <v>1.5</v>
          </cell>
          <cell r="FI174">
            <v>7.5</v>
          </cell>
          <cell r="FJ174">
            <v>24</v>
          </cell>
          <cell r="FK174">
            <v>16.5</v>
          </cell>
          <cell r="FL174">
            <v>16</v>
          </cell>
          <cell r="FM174">
            <v>0.5</v>
          </cell>
          <cell r="FN174" t="str">
            <v>0</v>
          </cell>
          <cell r="FO174" t="str">
            <v>1</v>
          </cell>
          <cell r="FP174">
            <v>1</v>
          </cell>
          <cell r="FQ174" t="str">
            <v>21</v>
          </cell>
        </row>
        <row r="175">
          <cell r="F175" t="str">
            <v>하정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 t="str">
            <v>(5일)</v>
          </cell>
          <cell r="CM175">
            <v>1</v>
          </cell>
          <cell r="CN175">
            <v>1</v>
          </cell>
          <cell r="CO175">
            <v>1</v>
          </cell>
          <cell r="CP175" t="str">
            <v>(3일)</v>
          </cell>
          <cell r="DV175">
            <v>3</v>
          </cell>
          <cell r="DW175">
            <v>3</v>
          </cell>
          <cell r="EG175">
            <v>3</v>
          </cell>
          <cell r="EH175">
            <v>3</v>
          </cell>
          <cell r="FD175">
            <v>11</v>
          </cell>
          <cell r="FE175">
            <v>0</v>
          </cell>
          <cell r="FF175">
            <v>4</v>
          </cell>
          <cell r="FG175">
            <v>8</v>
          </cell>
          <cell r="FH175">
            <v>2.5</v>
          </cell>
          <cell r="FI175">
            <v>10.5</v>
          </cell>
          <cell r="FJ175">
            <v>24</v>
          </cell>
          <cell r="FK175">
            <v>13.5</v>
          </cell>
          <cell r="FL175">
            <v>16</v>
          </cell>
          <cell r="FM175">
            <v>-2.5</v>
          </cell>
          <cell r="FN175" t="str">
            <v>0</v>
          </cell>
          <cell r="FO175" t="str">
            <v>1</v>
          </cell>
          <cell r="FP175">
            <v>1</v>
          </cell>
          <cell r="FQ175" t="str">
            <v>21</v>
          </cell>
        </row>
        <row r="176">
          <cell r="F176" t="str">
            <v>박삼복</v>
          </cell>
          <cell r="BY176">
            <v>1</v>
          </cell>
          <cell r="BZ176">
            <v>1</v>
          </cell>
          <cell r="CA176">
            <v>1</v>
          </cell>
          <cell r="CB176" t="str">
            <v>(3일)</v>
          </cell>
          <cell r="FD176">
            <v>13</v>
          </cell>
          <cell r="FE176">
            <v>0</v>
          </cell>
          <cell r="FF176">
            <v>0</v>
          </cell>
          <cell r="FG176">
            <v>3</v>
          </cell>
          <cell r="FH176">
            <v>8</v>
          </cell>
          <cell r="FI176">
            <v>11</v>
          </cell>
          <cell r="FJ176">
            <v>24</v>
          </cell>
          <cell r="FK176">
            <v>13</v>
          </cell>
          <cell r="FL176">
            <v>16</v>
          </cell>
          <cell r="FM176">
            <v>-3</v>
          </cell>
          <cell r="FN176" t="str">
            <v>0</v>
          </cell>
          <cell r="FO176" t="str">
            <v>1</v>
          </cell>
          <cell r="FP176">
            <v>1</v>
          </cell>
          <cell r="FQ176" t="str">
            <v>21</v>
          </cell>
        </row>
        <row r="177">
          <cell r="F177" t="str">
            <v>백일재</v>
          </cell>
          <cell r="EG177">
            <v>3</v>
          </cell>
          <cell r="EH177">
            <v>3</v>
          </cell>
          <cell r="FD177">
            <v>9</v>
          </cell>
          <cell r="FE177">
            <v>0</v>
          </cell>
          <cell r="FF177">
            <v>7</v>
          </cell>
          <cell r="FH177">
            <v>8</v>
          </cell>
          <cell r="FI177">
            <v>8</v>
          </cell>
          <cell r="FJ177">
            <v>24</v>
          </cell>
          <cell r="FK177">
            <v>16</v>
          </cell>
          <cell r="FL177">
            <v>16</v>
          </cell>
          <cell r="FM177">
            <v>0</v>
          </cell>
          <cell r="FN177" t="str">
            <v>0</v>
          </cell>
          <cell r="FO177" t="str">
            <v>1</v>
          </cell>
          <cell r="FP177">
            <v>1</v>
          </cell>
          <cell r="FQ177" t="str">
            <v>21</v>
          </cell>
        </row>
        <row r="178">
          <cell r="F178" t="str">
            <v>김순복</v>
          </cell>
          <cell r="N178">
            <v>1</v>
          </cell>
          <cell r="O178">
            <v>1</v>
          </cell>
          <cell r="P178">
            <v>1</v>
          </cell>
          <cell r="Q178">
            <v>1</v>
          </cell>
          <cell r="R178">
            <v>1</v>
          </cell>
          <cell r="S178">
            <v>1</v>
          </cell>
          <cell r="T178" t="str">
            <v>(5일)</v>
          </cell>
          <cell r="CF178">
            <v>3</v>
          </cell>
          <cell r="CG178">
            <v>3</v>
          </cell>
          <cell r="CH178">
            <v>3</v>
          </cell>
          <cell r="CI178">
            <v>3</v>
          </cell>
          <cell r="CJ178">
            <v>3</v>
          </cell>
          <cell r="DV178">
            <v>3</v>
          </cell>
          <cell r="DW178">
            <v>3</v>
          </cell>
          <cell r="FD178">
            <v>10</v>
          </cell>
          <cell r="FE178">
            <v>0</v>
          </cell>
          <cell r="FF178">
            <v>7</v>
          </cell>
          <cell r="FG178">
            <v>5</v>
          </cell>
          <cell r="FH178">
            <v>4</v>
          </cell>
          <cell r="FI178">
            <v>9</v>
          </cell>
          <cell r="FJ178">
            <v>25</v>
          </cell>
          <cell r="FK178">
            <v>16</v>
          </cell>
          <cell r="FL178">
            <v>16</v>
          </cell>
          <cell r="FM178">
            <v>0</v>
          </cell>
          <cell r="FN178" t="str">
            <v>0</v>
          </cell>
          <cell r="FO178" t="str">
            <v>1</v>
          </cell>
          <cell r="FP178">
            <v>1</v>
          </cell>
          <cell r="FQ178" t="str">
            <v>21</v>
          </cell>
        </row>
        <row r="179">
          <cell r="F179" t="str">
            <v>박종관</v>
          </cell>
          <cell r="BA179" t="str">
            <v>3시간</v>
          </cell>
          <cell r="CW179">
            <v>1</v>
          </cell>
          <cell r="CX179">
            <v>1</v>
          </cell>
          <cell r="CY179">
            <v>1</v>
          </cell>
          <cell r="CZ179" t="str">
            <v>(2일)</v>
          </cell>
          <cell r="EE179">
            <v>3</v>
          </cell>
          <cell r="EF179">
            <v>3</v>
          </cell>
          <cell r="FD179">
            <v>12</v>
          </cell>
          <cell r="FE179">
            <v>0</v>
          </cell>
          <cell r="FF179">
            <v>2</v>
          </cell>
          <cell r="FG179">
            <v>3</v>
          </cell>
          <cell r="FH179">
            <v>9</v>
          </cell>
          <cell r="FI179">
            <v>12</v>
          </cell>
          <cell r="FJ179">
            <v>25</v>
          </cell>
          <cell r="FK179">
            <v>13</v>
          </cell>
          <cell r="FL179">
            <v>16</v>
          </cell>
          <cell r="FM179">
            <v>-3</v>
          </cell>
          <cell r="FN179" t="str">
            <v>0</v>
          </cell>
          <cell r="FO179" t="str">
            <v>1</v>
          </cell>
          <cell r="FP179">
            <v>1</v>
          </cell>
          <cell r="FQ179" t="str">
            <v>21</v>
          </cell>
        </row>
        <row r="180">
          <cell r="F180" t="str">
            <v>신성수</v>
          </cell>
          <cell r="CT180">
            <v>1</v>
          </cell>
          <cell r="CU180">
            <v>1</v>
          </cell>
          <cell r="CV180">
            <v>1</v>
          </cell>
          <cell r="CW180" t="str">
            <v>(3일)</v>
          </cell>
          <cell r="EG180">
            <v>3</v>
          </cell>
          <cell r="EH180">
            <v>3</v>
          </cell>
          <cell r="FD180">
            <v>13</v>
          </cell>
          <cell r="FE180">
            <v>0</v>
          </cell>
          <cell r="FF180">
            <v>2</v>
          </cell>
          <cell r="FG180">
            <v>3</v>
          </cell>
          <cell r="FH180">
            <v>9</v>
          </cell>
          <cell r="FI180">
            <v>12</v>
          </cell>
          <cell r="FJ180">
            <v>24</v>
          </cell>
          <cell r="FK180">
            <v>12</v>
          </cell>
          <cell r="FL180">
            <v>16</v>
          </cell>
          <cell r="FM180">
            <v>-4</v>
          </cell>
          <cell r="FN180" t="str">
            <v>0</v>
          </cell>
          <cell r="FO180" t="str">
            <v>1</v>
          </cell>
          <cell r="FP180">
            <v>1</v>
          </cell>
          <cell r="FQ180" t="str">
            <v>21</v>
          </cell>
        </row>
        <row r="181">
          <cell r="F181" t="str">
            <v>신영한</v>
          </cell>
          <cell r="G181">
            <v>1</v>
          </cell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 t="str">
            <v>(5일)</v>
          </cell>
          <cell r="DV181">
            <v>3</v>
          </cell>
          <cell r="DW181">
            <v>3</v>
          </cell>
          <cell r="FD181">
            <v>8</v>
          </cell>
          <cell r="FE181">
            <v>0</v>
          </cell>
          <cell r="FF181">
            <v>2</v>
          </cell>
          <cell r="FG181">
            <v>5</v>
          </cell>
          <cell r="FH181">
            <v>2</v>
          </cell>
          <cell r="FI181">
            <v>7</v>
          </cell>
          <cell r="FJ181">
            <v>24</v>
          </cell>
          <cell r="FK181">
            <v>17</v>
          </cell>
          <cell r="FL181">
            <v>16</v>
          </cell>
          <cell r="FM181">
            <v>1</v>
          </cell>
          <cell r="FN181" t="str">
            <v>1</v>
          </cell>
          <cell r="FO181" t="str">
            <v>1</v>
          </cell>
          <cell r="FP181">
            <v>2</v>
          </cell>
          <cell r="FQ181" t="str">
            <v>21</v>
          </cell>
        </row>
        <row r="182">
          <cell r="F182" t="str">
            <v>이한수</v>
          </cell>
          <cell r="CM182">
            <v>1</v>
          </cell>
          <cell r="CN182">
            <v>1</v>
          </cell>
          <cell r="CO182">
            <v>1</v>
          </cell>
          <cell r="CP182" t="str">
            <v>(3일)</v>
          </cell>
          <cell r="DX182">
            <v>3</v>
          </cell>
          <cell r="DY182">
            <v>3</v>
          </cell>
          <cell r="FD182">
            <v>12</v>
          </cell>
          <cell r="FE182">
            <v>0</v>
          </cell>
          <cell r="FF182">
            <v>4</v>
          </cell>
          <cell r="FG182">
            <v>3</v>
          </cell>
          <cell r="FH182">
            <v>8</v>
          </cell>
          <cell r="FI182">
            <v>11</v>
          </cell>
          <cell r="FJ182">
            <v>24</v>
          </cell>
          <cell r="FK182">
            <v>13</v>
          </cell>
          <cell r="FL182">
            <v>16</v>
          </cell>
          <cell r="FM182">
            <v>-3</v>
          </cell>
          <cell r="FN182" t="str">
            <v>0</v>
          </cell>
          <cell r="FO182" t="str">
            <v>1</v>
          </cell>
          <cell r="FP182">
            <v>1</v>
          </cell>
          <cell r="FQ182" t="str">
            <v>21</v>
          </cell>
        </row>
        <row r="183">
          <cell r="F183" t="str">
            <v>김태숙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 t="str">
            <v>(4일)</v>
          </cell>
          <cell r="BY183">
            <v>1</v>
          </cell>
          <cell r="BZ183">
            <v>1</v>
          </cell>
          <cell r="CA183">
            <v>1</v>
          </cell>
          <cell r="CB183" t="str">
            <v>(3일)</v>
          </cell>
          <cell r="DO183">
            <v>3</v>
          </cell>
          <cell r="DP183">
            <v>3</v>
          </cell>
          <cell r="FD183">
            <v>13</v>
          </cell>
          <cell r="FE183">
            <v>0</v>
          </cell>
          <cell r="FF183">
            <v>2</v>
          </cell>
          <cell r="FG183">
            <v>7</v>
          </cell>
          <cell r="FH183">
            <v>3</v>
          </cell>
          <cell r="FI183">
            <v>10</v>
          </cell>
          <cell r="FJ183">
            <v>25</v>
          </cell>
          <cell r="FK183">
            <v>15</v>
          </cell>
          <cell r="FL183">
            <v>16</v>
          </cell>
          <cell r="FM183">
            <v>-1</v>
          </cell>
          <cell r="FN183" t="str">
            <v>0</v>
          </cell>
          <cell r="FO183" t="str">
            <v>1</v>
          </cell>
          <cell r="FP183">
            <v>1</v>
          </cell>
          <cell r="FQ183" t="str">
            <v>21</v>
          </cell>
        </row>
        <row r="184">
          <cell r="F184" t="str">
            <v>박무재</v>
          </cell>
          <cell r="N184">
            <v>1</v>
          </cell>
          <cell r="O184">
            <v>1</v>
          </cell>
          <cell r="P184">
            <v>1</v>
          </cell>
          <cell r="Q184">
            <v>1</v>
          </cell>
          <cell r="R184">
            <v>1</v>
          </cell>
          <cell r="S184">
            <v>1</v>
          </cell>
          <cell r="T184" t="str">
            <v>(5일)</v>
          </cell>
          <cell r="EJ184">
            <v>1</v>
          </cell>
          <cell r="EK184">
            <v>1</v>
          </cell>
          <cell r="EL184" t="str">
            <v>(2일)</v>
          </cell>
          <cell r="FD184">
            <v>15</v>
          </cell>
          <cell r="FE184">
            <v>0</v>
          </cell>
          <cell r="FF184">
            <v>0</v>
          </cell>
          <cell r="FG184">
            <v>7</v>
          </cell>
          <cell r="FH184">
            <v>2.5</v>
          </cell>
          <cell r="FI184">
            <v>9.5</v>
          </cell>
          <cell r="FJ184">
            <v>25</v>
          </cell>
          <cell r="FK184">
            <v>15.5</v>
          </cell>
          <cell r="FL184">
            <v>16</v>
          </cell>
          <cell r="FM184">
            <v>-0.5</v>
          </cell>
          <cell r="FN184" t="str">
            <v>0</v>
          </cell>
          <cell r="FO184" t="str">
            <v>1</v>
          </cell>
          <cell r="FP184">
            <v>1</v>
          </cell>
          <cell r="FQ184" t="str">
            <v>21</v>
          </cell>
        </row>
        <row r="185">
          <cell r="F185" t="str">
            <v>송삼현</v>
          </cell>
          <cell r="G185">
            <v>1</v>
          </cell>
          <cell r="H185">
            <v>1</v>
          </cell>
          <cell r="I185">
            <v>1</v>
          </cell>
          <cell r="J185">
            <v>1</v>
          </cell>
          <cell r="K185">
            <v>1</v>
          </cell>
          <cell r="L185">
            <v>1</v>
          </cell>
          <cell r="M185" t="str">
            <v>(5일)</v>
          </cell>
          <cell r="BU185">
            <v>1</v>
          </cell>
          <cell r="BV185">
            <v>1</v>
          </cell>
          <cell r="BW185">
            <v>1</v>
          </cell>
          <cell r="BX185" t="str">
            <v>(2일)</v>
          </cell>
          <cell r="EE185">
            <v>3</v>
          </cell>
          <cell r="EF185">
            <v>3</v>
          </cell>
          <cell r="FD185">
            <v>12</v>
          </cell>
          <cell r="FE185">
            <v>0</v>
          </cell>
          <cell r="FF185">
            <v>3</v>
          </cell>
          <cell r="FG185">
            <v>7</v>
          </cell>
          <cell r="FH185">
            <v>3</v>
          </cell>
          <cell r="FI185">
            <v>10</v>
          </cell>
          <cell r="FJ185">
            <v>24</v>
          </cell>
          <cell r="FK185">
            <v>14</v>
          </cell>
          <cell r="FL185">
            <v>16</v>
          </cell>
          <cell r="FM185">
            <v>-2</v>
          </cell>
          <cell r="FN185" t="str">
            <v>0</v>
          </cell>
          <cell r="FO185" t="str">
            <v>1</v>
          </cell>
          <cell r="FP185">
            <v>1</v>
          </cell>
          <cell r="FQ185" t="str">
            <v>21</v>
          </cell>
        </row>
        <row r="186">
          <cell r="F186" t="str">
            <v>최봉규</v>
          </cell>
          <cell r="CM186">
            <v>1</v>
          </cell>
          <cell r="CN186">
            <v>1</v>
          </cell>
          <cell r="CO186">
            <v>1</v>
          </cell>
          <cell r="CP186" t="str">
            <v>(3일)</v>
          </cell>
          <cell r="DV186">
            <v>3</v>
          </cell>
          <cell r="DW186">
            <v>3</v>
          </cell>
          <cell r="FD186">
            <v>12</v>
          </cell>
          <cell r="FE186">
            <v>0</v>
          </cell>
          <cell r="FF186">
            <v>2</v>
          </cell>
          <cell r="FG186">
            <v>3</v>
          </cell>
          <cell r="FH186">
            <v>8</v>
          </cell>
          <cell r="FI186">
            <v>11</v>
          </cell>
          <cell r="FJ186">
            <v>23</v>
          </cell>
          <cell r="FK186">
            <v>12</v>
          </cell>
          <cell r="FL186">
            <v>16</v>
          </cell>
          <cell r="FM186">
            <v>-4</v>
          </cell>
          <cell r="FN186" t="str">
            <v>0</v>
          </cell>
          <cell r="FO186" t="str">
            <v>1</v>
          </cell>
          <cell r="FP186">
            <v>1</v>
          </cell>
          <cell r="FQ186" t="str">
            <v>21</v>
          </cell>
        </row>
        <row r="187">
          <cell r="F187" t="str">
            <v>김태현</v>
          </cell>
          <cell r="G187">
            <v>1</v>
          </cell>
          <cell r="H187">
            <v>1</v>
          </cell>
          <cell r="I187">
            <v>1</v>
          </cell>
          <cell r="J187">
            <v>1</v>
          </cell>
          <cell r="K187">
            <v>1</v>
          </cell>
          <cell r="L187">
            <v>1</v>
          </cell>
          <cell r="M187" t="str">
            <v>(5일)</v>
          </cell>
          <cell r="CP187">
            <v>1</v>
          </cell>
          <cell r="CQ187">
            <v>1</v>
          </cell>
          <cell r="CR187">
            <v>1</v>
          </cell>
          <cell r="CS187" t="str">
            <v>(2일)</v>
          </cell>
          <cell r="DT187">
            <v>3</v>
          </cell>
          <cell r="DU187">
            <v>3</v>
          </cell>
          <cell r="FD187">
            <v>12</v>
          </cell>
          <cell r="FE187">
            <v>0</v>
          </cell>
          <cell r="FF187">
            <v>2</v>
          </cell>
          <cell r="FG187">
            <v>7</v>
          </cell>
          <cell r="FH187">
            <v>2</v>
          </cell>
          <cell r="FI187">
            <v>9</v>
          </cell>
          <cell r="FJ187">
            <v>25</v>
          </cell>
          <cell r="FK187">
            <v>16</v>
          </cell>
          <cell r="FL187">
            <v>16</v>
          </cell>
          <cell r="FM187">
            <v>0</v>
          </cell>
          <cell r="FN187" t="str">
            <v>0</v>
          </cell>
          <cell r="FO187" t="str">
            <v>1</v>
          </cell>
          <cell r="FP187">
            <v>1</v>
          </cell>
          <cell r="FQ187" t="str">
            <v>21</v>
          </cell>
        </row>
        <row r="188">
          <cell r="F188" t="str">
            <v>조성환</v>
          </cell>
          <cell r="R188">
            <v>1</v>
          </cell>
          <cell r="S188">
            <v>1</v>
          </cell>
          <cell r="T188">
            <v>1</v>
          </cell>
          <cell r="U188">
            <v>1</v>
          </cell>
          <cell r="V188">
            <v>1</v>
          </cell>
          <cell r="W188">
            <v>1</v>
          </cell>
          <cell r="X188">
            <v>1</v>
          </cell>
          <cell r="Y188">
            <v>1</v>
          </cell>
          <cell r="Z188" t="str">
            <v>(5일)</v>
          </cell>
          <cell r="CT188">
            <v>1</v>
          </cell>
          <cell r="CU188">
            <v>1</v>
          </cell>
          <cell r="CV188">
            <v>1</v>
          </cell>
          <cell r="CW188" t="str">
            <v>(3일)</v>
          </cell>
          <cell r="FD188">
            <v>11</v>
          </cell>
          <cell r="FE188">
            <v>0</v>
          </cell>
          <cell r="FF188">
            <v>0</v>
          </cell>
          <cell r="FG188">
            <v>8</v>
          </cell>
          <cell r="FH188">
            <v>0</v>
          </cell>
          <cell r="FI188">
            <v>8</v>
          </cell>
          <cell r="FJ188">
            <v>24</v>
          </cell>
          <cell r="FK188">
            <v>16</v>
          </cell>
          <cell r="FL188">
            <v>16</v>
          </cell>
          <cell r="FM188">
            <v>0</v>
          </cell>
          <cell r="FN188" t="str">
            <v>0</v>
          </cell>
          <cell r="FO188" t="str">
            <v>1</v>
          </cell>
          <cell r="FP188">
            <v>1</v>
          </cell>
          <cell r="FQ188" t="str">
            <v>21</v>
          </cell>
        </row>
        <row r="189">
          <cell r="F189" t="str">
            <v>곽익선</v>
          </cell>
          <cell r="FD189">
            <v>9</v>
          </cell>
          <cell r="FE189">
            <v>0</v>
          </cell>
          <cell r="FF189">
            <v>0</v>
          </cell>
          <cell r="FH189">
            <v>8</v>
          </cell>
          <cell r="FI189">
            <v>8</v>
          </cell>
          <cell r="FJ189">
            <v>24</v>
          </cell>
          <cell r="FK189">
            <v>16</v>
          </cell>
          <cell r="FL189">
            <v>16</v>
          </cell>
          <cell r="FM189">
            <v>0</v>
          </cell>
          <cell r="FN189" t="str">
            <v>0</v>
          </cell>
          <cell r="FO189" t="str">
            <v>1</v>
          </cell>
          <cell r="FP189">
            <v>1</v>
          </cell>
          <cell r="FQ189" t="str">
            <v>21</v>
          </cell>
        </row>
        <row r="190">
          <cell r="F190" t="str">
            <v>구기동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 t="str">
            <v>(4일)</v>
          </cell>
          <cell r="CF190">
            <v>1</v>
          </cell>
          <cell r="CG190">
            <v>1</v>
          </cell>
          <cell r="CH190">
            <v>1</v>
          </cell>
          <cell r="CI190" t="str">
            <v>(2일)</v>
          </cell>
          <cell r="EG190">
            <v>3</v>
          </cell>
          <cell r="EH190">
            <v>3</v>
          </cell>
          <cell r="FD190">
            <v>10</v>
          </cell>
          <cell r="FE190">
            <v>0</v>
          </cell>
          <cell r="FF190">
            <v>2</v>
          </cell>
          <cell r="FG190">
            <v>6</v>
          </cell>
          <cell r="FH190">
            <v>1</v>
          </cell>
          <cell r="FI190">
            <v>7</v>
          </cell>
          <cell r="FJ190">
            <v>25</v>
          </cell>
          <cell r="FK190">
            <v>18</v>
          </cell>
          <cell r="FL190">
            <v>16</v>
          </cell>
          <cell r="FM190">
            <v>2</v>
          </cell>
          <cell r="FN190" t="str">
            <v>1</v>
          </cell>
          <cell r="FO190" t="str">
            <v>1</v>
          </cell>
          <cell r="FP190">
            <v>2</v>
          </cell>
          <cell r="FQ190" t="str">
            <v>21</v>
          </cell>
        </row>
        <row r="191">
          <cell r="F191" t="str">
            <v>구영본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  <cell r="AM191">
            <v>1</v>
          </cell>
          <cell r="AN191">
            <v>1</v>
          </cell>
          <cell r="AO191" t="str">
            <v>(4일)</v>
          </cell>
          <cell r="CM191">
            <v>1</v>
          </cell>
          <cell r="CN191">
            <v>1</v>
          </cell>
          <cell r="CO191">
            <v>1</v>
          </cell>
          <cell r="CP191" t="str">
            <v>(2일)</v>
          </cell>
          <cell r="DX191">
            <v>3</v>
          </cell>
          <cell r="DY191">
            <v>3</v>
          </cell>
          <cell r="FB191" t="str">
            <v>(1일)</v>
          </cell>
          <cell r="FC191">
            <v>1</v>
          </cell>
          <cell r="FD191">
            <v>16</v>
          </cell>
          <cell r="FE191">
            <v>0</v>
          </cell>
          <cell r="FF191">
            <v>2</v>
          </cell>
          <cell r="FG191">
            <v>7</v>
          </cell>
          <cell r="FH191">
            <v>5</v>
          </cell>
          <cell r="FI191">
            <v>12</v>
          </cell>
          <cell r="FJ191">
            <v>23</v>
          </cell>
          <cell r="FK191">
            <v>11</v>
          </cell>
          <cell r="FL191">
            <v>16</v>
          </cell>
          <cell r="FM191">
            <v>-5</v>
          </cell>
          <cell r="FN191" t="str">
            <v>0</v>
          </cell>
          <cell r="FO191" t="str">
            <v>1</v>
          </cell>
          <cell r="FP191">
            <v>1</v>
          </cell>
          <cell r="FQ191" t="str">
            <v>21</v>
          </cell>
        </row>
        <row r="192">
          <cell r="F192" t="str">
            <v>권호영</v>
          </cell>
          <cell r="U192">
            <v>1</v>
          </cell>
          <cell r="V192">
            <v>1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 t="str">
            <v>(4일)</v>
          </cell>
          <cell r="BR192">
            <v>1</v>
          </cell>
          <cell r="BS192">
            <v>1</v>
          </cell>
          <cell r="BT192">
            <v>1</v>
          </cell>
          <cell r="BU192" t="str">
            <v>(3일)</v>
          </cell>
          <cell r="EG192">
            <v>3</v>
          </cell>
          <cell r="EH192">
            <v>3</v>
          </cell>
          <cell r="FD192">
            <v>16</v>
          </cell>
          <cell r="FE192">
            <v>0</v>
          </cell>
          <cell r="FF192">
            <v>2</v>
          </cell>
          <cell r="FG192">
            <v>7</v>
          </cell>
          <cell r="FH192">
            <v>4</v>
          </cell>
          <cell r="FI192">
            <v>11</v>
          </cell>
          <cell r="FJ192">
            <v>24</v>
          </cell>
          <cell r="FK192">
            <v>13</v>
          </cell>
          <cell r="FL192">
            <v>16</v>
          </cell>
          <cell r="FM192">
            <v>-3</v>
          </cell>
          <cell r="FN192" t="str">
            <v>0</v>
          </cell>
          <cell r="FO192" t="str">
            <v>1</v>
          </cell>
          <cell r="FP192">
            <v>1</v>
          </cell>
          <cell r="FQ192" t="str">
            <v>21</v>
          </cell>
        </row>
        <row r="193">
          <cell r="F193" t="str">
            <v>김종권</v>
          </cell>
          <cell r="U193">
            <v>1</v>
          </cell>
          <cell r="V193">
            <v>1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 t="str">
            <v>(4일)</v>
          </cell>
          <cell r="BL193">
            <v>1</v>
          </cell>
          <cell r="BM193" t="str">
            <v>(1일)</v>
          </cell>
          <cell r="EC193">
            <v>3</v>
          </cell>
          <cell r="ED193">
            <v>3</v>
          </cell>
          <cell r="FD193">
            <v>8</v>
          </cell>
          <cell r="FE193">
            <v>1</v>
          </cell>
          <cell r="FF193">
            <v>5</v>
          </cell>
          <cell r="FG193">
            <v>5</v>
          </cell>
          <cell r="FH193">
            <v>1</v>
          </cell>
          <cell r="FI193">
            <v>6</v>
          </cell>
          <cell r="FJ193">
            <v>24</v>
          </cell>
          <cell r="FK193">
            <v>18</v>
          </cell>
          <cell r="FL193">
            <v>16</v>
          </cell>
          <cell r="FM193">
            <v>2</v>
          </cell>
          <cell r="FN193" t="str">
            <v>1</v>
          </cell>
          <cell r="FO193" t="str">
            <v>0</v>
          </cell>
          <cell r="FP193">
            <v>1</v>
          </cell>
          <cell r="FQ193" t="str">
            <v>21</v>
          </cell>
        </row>
        <row r="194">
          <cell r="F194" t="str">
            <v>김해상</v>
          </cell>
          <cell r="CF194">
            <v>1</v>
          </cell>
          <cell r="CG194">
            <v>1</v>
          </cell>
          <cell r="CH194">
            <v>1</v>
          </cell>
          <cell r="CI194" t="str">
            <v>(3일)</v>
          </cell>
          <cell r="EC194">
            <v>3</v>
          </cell>
          <cell r="ED194">
            <v>3</v>
          </cell>
          <cell r="FD194">
            <v>12</v>
          </cell>
          <cell r="FE194">
            <v>0</v>
          </cell>
          <cell r="FF194">
            <v>2</v>
          </cell>
          <cell r="FG194">
            <v>3</v>
          </cell>
          <cell r="FH194">
            <v>8</v>
          </cell>
          <cell r="FI194">
            <v>11</v>
          </cell>
          <cell r="FJ194">
            <v>25</v>
          </cell>
          <cell r="FK194">
            <v>14</v>
          </cell>
          <cell r="FL194">
            <v>16</v>
          </cell>
          <cell r="FM194">
            <v>-2</v>
          </cell>
          <cell r="FN194" t="str">
            <v>0</v>
          </cell>
          <cell r="FO194" t="str">
            <v>1</v>
          </cell>
          <cell r="FP194">
            <v>1</v>
          </cell>
          <cell r="FQ194" t="str">
            <v>21</v>
          </cell>
        </row>
        <row r="195">
          <cell r="F195" t="str">
            <v>김형섭</v>
          </cell>
          <cell r="CM195">
            <v>1</v>
          </cell>
          <cell r="CN195">
            <v>1</v>
          </cell>
          <cell r="CO195">
            <v>1</v>
          </cell>
          <cell r="CP195" t="str">
            <v>(2일)</v>
          </cell>
          <cell r="DQ195">
            <v>3</v>
          </cell>
          <cell r="DR195">
            <v>3</v>
          </cell>
          <cell r="ES195">
            <v>3</v>
          </cell>
          <cell r="ET195">
            <v>3</v>
          </cell>
          <cell r="EU195">
            <v>3</v>
          </cell>
          <cell r="EV195">
            <v>3</v>
          </cell>
          <cell r="EW195">
            <v>3</v>
          </cell>
          <cell r="EX195">
            <v>3</v>
          </cell>
          <cell r="EY195">
            <v>3</v>
          </cell>
          <cell r="EZ195">
            <v>3</v>
          </cell>
          <cell r="FA195">
            <v>3</v>
          </cell>
          <cell r="FB195">
            <v>3</v>
          </cell>
          <cell r="FC195">
            <v>3</v>
          </cell>
          <cell r="FD195">
            <v>14</v>
          </cell>
          <cell r="FE195">
            <v>0</v>
          </cell>
          <cell r="FF195">
            <v>13</v>
          </cell>
          <cell r="FG195">
            <v>2</v>
          </cell>
          <cell r="FH195">
            <v>8</v>
          </cell>
          <cell r="FI195">
            <v>10</v>
          </cell>
          <cell r="FJ195">
            <v>23</v>
          </cell>
          <cell r="FK195">
            <v>13</v>
          </cell>
          <cell r="FL195">
            <v>16</v>
          </cell>
          <cell r="FM195">
            <v>-3</v>
          </cell>
          <cell r="FN195" t="str">
            <v>0</v>
          </cell>
          <cell r="FO195" t="str">
            <v>1</v>
          </cell>
          <cell r="FP195">
            <v>1</v>
          </cell>
          <cell r="FQ195" t="str">
            <v>21</v>
          </cell>
        </row>
        <row r="196">
          <cell r="F196" t="str">
            <v>박종성</v>
          </cell>
          <cell r="N196">
            <v>1</v>
          </cell>
          <cell r="O196">
            <v>1</v>
          </cell>
          <cell r="P196">
            <v>1</v>
          </cell>
          <cell r="Q196">
            <v>1</v>
          </cell>
          <cell r="R196">
            <v>1</v>
          </cell>
          <cell r="S196">
            <v>1</v>
          </cell>
          <cell r="T196" t="str">
            <v>(5일)</v>
          </cell>
          <cell r="CF196">
            <v>1</v>
          </cell>
          <cell r="CG196">
            <v>1</v>
          </cell>
          <cell r="CH196">
            <v>1</v>
          </cell>
          <cell r="CI196" t="str">
            <v>(3일)</v>
          </cell>
          <cell r="EE196">
            <v>3</v>
          </cell>
          <cell r="EF196">
            <v>3</v>
          </cell>
          <cell r="FD196">
            <v>12</v>
          </cell>
          <cell r="FE196">
            <v>0</v>
          </cell>
          <cell r="FF196">
            <v>2</v>
          </cell>
          <cell r="FG196">
            <v>8</v>
          </cell>
          <cell r="FH196">
            <v>3</v>
          </cell>
          <cell r="FI196">
            <v>11</v>
          </cell>
          <cell r="FJ196">
            <v>24</v>
          </cell>
          <cell r="FK196">
            <v>13</v>
          </cell>
          <cell r="FL196">
            <v>16</v>
          </cell>
          <cell r="FM196">
            <v>-3</v>
          </cell>
          <cell r="FN196" t="str">
            <v>0</v>
          </cell>
          <cell r="FO196" t="str">
            <v>1</v>
          </cell>
          <cell r="FP196">
            <v>1</v>
          </cell>
          <cell r="FQ196" t="str">
            <v>21</v>
          </cell>
        </row>
        <row r="197">
          <cell r="F197" t="str">
            <v>백남규</v>
          </cell>
          <cell r="G197">
            <v>1</v>
          </cell>
          <cell r="H197">
            <v>1</v>
          </cell>
          <cell r="I197">
            <v>1</v>
          </cell>
          <cell r="J197">
            <v>1</v>
          </cell>
          <cell r="K197">
            <v>1</v>
          </cell>
          <cell r="L197">
            <v>1</v>
          </cell>
          <cell r="M197" t="str">
            <v>(4일)</v>
          </cell>
          <cell r="BX197">
            <v>1</v>
          </cell>
          <cell r="BY197">
            <v>1</v>
          </cell>
          <cell r="BZ197" t="str">
            <v>(1일)</v>
          </cell>
          <cell r="FD197">
            <v>10</v>
          </cell>
          <cell r="FE197">
            <v>0</v>
          </cell>
          <cell r="FF197">
            <v>0</v>
          </cell>
          <cell r="FG197">
            <v>5</v>
          </cell>
          <cell r="FH197">
            <v>1</v>
          </cell>
          <cell r="FI197">
            <v>6</v>
          </cell>
          <cell r="FJ197">
            <v>25</v>
          </cell>
          <cell r="FK197">
            <v>19</v>
          </cell>
          <cell r="FL197">
            <v>16</v>
          </cell>
          <cell r="FM197">
            <v>3</v>
          </cell>
          <cell r="FN197" t="str">
            <v>1</v>
          </cell>
          <cell r="FO197" t="str">
            <v>1</v>
          </cell>
          <cell r="FP197">
            <v>2</v>
          </cell>
          <cell r="FQ197" t="str">
            <v>21</v>
          </cell>
        </row>
        <row r="198">
          <cell r="F198" t="str">
            <v>서행종</v>
          </cell>
          <cell r="N198">
            <v>1</v>
          </cell>
          <cell r="O198">
            <v>1</v>
          </cell>
          <cell r="P198">
            <v>1</v>
          </cell>
          <cell r="Q198">
            <v>1</v>
          </cell>
          <cell r="R198">
            <v>1</v>
          </cell>
          <cell r="S198">
            <v>1</v>
          </cell>
          <cell r="T198" t="str">
            <v>(5일)</v>
          </cell>
          <cell r="EE198">
            <v>3</v>
          </cell>
          <cell r="EF198">
            <v>3</v>
          </cell>
          <cell r="ES198">
            <v>1</v>
          </cell>
          <cell r="ET198">
            <v>1</v>
          </cell>
          <cell r="EU198" t="str">
            <v>(2일)</v>
          </cell>
          <cell r="FD198">
            <v>8</v>
          </cell>
          <cell r="FE198">
            <v>0</v>
          </cell>
          <cell r="FF198">
            <v>2</v>
          </cell>
          <cell r="FG198">
            <v>7</v>
          </cell>
          <cell r="FH198">
            <v>0</v>
          </cell>
          <cell r="FI198">
            <v>7</v>
          </cell>
          <cell r="FJ198">
            <v>25</v>
          </cell>
          <cell r="FK198">
            <v>18</v>
          </cell>
          <cell r="FL198">
            <v>16</v>
          </cell>
          <cell r="FM198">
            <v>2</v>
          </cell>
          <cell r="FN198" t="str">
            <v>1</v>
          </cell>
          <cell r="FO198" t="str">
            <v>1</v>
          </cell>
          <cell r="FP198">
            <v>2</v>
          </cell>
          <cell r="FQ198" t="str">
            <v>21</v>
          </cell>
        </row>
        <row r="199">
          <cell r="F199" t="str">
            <v>설인규</v>
          </cell>
          <cell r="I199">
            <v>1</v>
          </cell>
          <cell r="J199" t="str">
            <v>(1일)</v>
          </cell>
          <cell r="N199">
            <v>1</v>
          </cell>
          <cell r="O199">
            <v>1</v>
          </cell>
          <cell r="P199">
            <v>1</v>
          </cell>
          <cell r="Q199">
            <v>1</v>
          </cell>
          <cell r="R199">
            <v>1</v>
          </cell>
          <cell r="S199">
            <v>1</v>
          </cell>
          <cell r="T199" t="str">
            <v>(5일)</v>
          </cell>
          <cell r="BS199">
            <v>1</v>
          </cell>
          <cell r="BT199" t="str">
            <v>(1일)</v>
          </cell>
          <cell r="CM199">
            <v>1</v>
          </cell>
          <cell r="CN199">
            <v>1</v>
          </cell>
          <cell r="CO199">
            <v>1</v>
          </cell>
          <cell r="CP199" t="str">
            <v>(3일)</v>
          </cell>
          <cell r="EC199">
            <v>3</v>
          </cell>
          <cell r="ED199">
            <v>3</v>
          </cell>
          <cell r="FD199">
            <v>14</v>
          </cell>
          <cell r="FE199">
            <v>0</v>
          </cell>
          <cell r="FF199">
            <v>2</v>
          </cell>
          <cell r="FG199">
            <v>10</v>
          </cell>
          <cell r="FH199">
            <v>1</v>
          </cell>
          <cell r="FI199">
            <v>11</v>
          </cell>
          <cell r="FJ199">
            <v>24</v>
          </cell>
          <cell r="FK199">
            <v>13</v>
          </cell>
          <cell r="FL199">
            <v>16</v>
          </cell>
          <cell r="FM199">
            <v>-3</v>
          </cell>
          <cell r="FN199" t="str">
            <v>0</v>
          </cell>
          <cell r="FO199" t="str">
            <v>1</v>
          </cell>
          <cell r="FP199">
            <v>1</v>
          </cell>
          <cell r="FQ199" t="str">
            <v>21</v>
          </cell>
        </row>
        <row r="200">
          <cell r="F200" t="str">
            <v>신영기</v>
          </cell>
          <cell r="G200">
            <v>1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 t="str">
            <v>(4일)</v>
          </cell>
          <cell r="CS200">
            <v>1</v>
          </cell>
          <cell r="CT200" t="str">
            <v>(1일)</v>
          </cell>
          <cell r="DS200">
            <v>3</v>
          </cell>
          <cell r="DT200">
            <v>3</v>
          </cell>
          <cell r="FD200">
            <v>7</v>
          </cell>
          <cell r="FE200">
            <v>0</v>
          </cell>
          <cell r="FF200">
            <v>2</v>
          </cell>
          <cell r="FG200">
            <v>5</v>
          </cell>
          <cell r="FH200">
            <v>0</v>
          </cell>
          <cell r="FI200">
            <v>5</v>
          </cell>
          <cell r="FJ200">
            <v>25</v>
          </cell>
          <cell r="FK200">
            <v>20</v>
          </cell>
          <cell r="FL200">
            <v>16</v>
          </cell>
          <cell r="FM200">
            <v>4</v>
          </cell>
          <cell r="FN200" t="str">
            <v>1</v>
          </cell>
          <cell r="FO200" t="str">
            <v>1</v>
          </cell>
          <cell r="FP200">
            <v>2</v>
          </cell>
          <cell r="FQ200" t="str">
            <v>21</v>
          </cell>
        </row>
        <row r="201">
          <cell r="F201" t="str">
            <v>오치우</v>
          </cell>
          <cell r="G201">
            <v>1</v>
          </cell>
          <cell r="H201">
            <v>1</v>
          </cell>
          <cell r="I201">
            <v>1</v>
          </cell>
          <cell r="J201">
            <v>1</v>
          </cell>
          <cell r="K201">
            <v>1</v>
          </cell>
          <cell r="L201">
            <v>1</v>
          </cell>
          <cell r="M201" t="str">
            <v>(5일)</v>
          </cell>
          <cell r="T201">
            <v>2</v>
          </cell>
          <cell r="U201">
            <v>2</v>
          </cell>
          <cell r="CP201">
            <v>1</v>
          </cell>
          <cell r="CQ201">
            <v>1</v>
          </cell>
          <cell r="CR201">
            <v>1</v>
          </cell>
          <cell r="CS201" t="str">
            <v>(3일)</v>
          </cell>
          <cell r="DQ201">
            <v>3</v>
          </cell>
          <cell r="DR201">
            <v>3</v>
          </cell>
          <cell r="FD201">
            <v>11</v>
          </cell>
          <cell r="FE201">
            <v>2</v>
          </cell>
          <cell r="FF201">
            <v>2</v>
          </cell>
          <cell r="FG201">
            <v>8</v>
          </cell>
          <cell r="FH201">
            <v>1</v>
          </cell>
          <cell r="FI201">
            <v>9</v>
          </cell>
          <cell r="FJ201">
            <v>23</v>
          </cell>
          <cell r="FK201">
            <v>14</v>
          </cell>
          <cell r="FL201">
            <v>16</v>
          </cell>
          <cell r="FM201">
            <v>-2</v>
          </cell>
          <cell r="FN201" t="str">
            <v>0</v>
          </cell>
          <cell r="FO201" t="str">
            <v>0</v>
          </cell>
          <cell r="FP201">
            <v>0</v>
          </cell>
          <cell r="FQ201" t="str">
            <v>21</v>
          </cell>
        </row>
        <row r="202">
          <cell r="F202" t="str">
            <v>이민세</v>
          </cell>
          <cell r="U202">
            <v>1</v>
          </cell>
          <cell r="V202">
            <v>1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 t="str">
            <v>(5일)</v>
          </cell>
          <cell r="DS202">
            <v>3</v>
          </cell>
          <cell r="DT202">
            <v>3</v>
          </cell>
          <cell r="FD202">
            <v>9</v>
          </cell>
          <cell r="FE202">
            <v>0</v>
          </cell>
          <cell r="FF202">
            <v>2</v>
          </cell>
          <cell r="FG202">
            <v>5</v>
          </cell>
          <cell r="FH202">
            <v>0</v>
          </cell>
          <cell r="FI202">
            <v>5</v>
          </cell>
          <cell r="FJ202">
            <v>24</v>
          </cell>
          <cell r="FK202">
            <v>19</v>
          </cell>
          <cell r="FL202">
            <v>16</v>
          </cell>
          <cell r="FM202">
            <v>3</v>
          </cell>
          <cell r="FN202" t="str">
            <v>1</v>
          </cell>
          <cell r="FO202" t="str">
            <v>1</v>
          </cell>
          <cell r="FP202">
            <v>2</v>
          </cell>
          <cell r="FQ202" t="str">
            <v>21</v>
          </cell>
        </row>
        <row r="203">
          <cell r="F203" t="str">
            <v>이민희</v>
          </cell>
          <cell r="BN203">
            <v>1</v>
          </cell>
          <cell r="BO203">
            <v>1</v>
          </cell>
          <cell r="BP203">
            <v>1</v>
          </cell>
          <cell r="BQ203" t="str">
            <v>(2일)</v>
          </cell>
          <cell r="CU203">
            <v>2</v>
          </cell>
          <cell r="DV203">
            <v>3</v>
          </cell>
          <cell r="DW203">
            <v>3</v>
          </cell>
          <cell r="EM203">
            <v>1</v>
          </cell>
          <cell r="EN203">
            <v>1</v>
          </cell>
          <cell r="EO203">
            <v>1</v>
          </cell>
          <cell r="EP203" t="str">
            <v>(2일)</v>
          </cell>
          <cell r="FD203">
            <v>7</v>
          </cell>
          <cell r="FE203">
            <v>1</v>
          </cell>
          <cell r="FF203">
            <v>9</v>
          </cell>
          <cell r="FG203">
            <v>4</v>
          </cell>
          <cell r="FH203">
            <v>1</v>
          </cell>
          <cell r="FI203">
            <v>5</v>
          </cell>
          <cell r="FJ203">
            <v>24</v>
          </cell>
          <cell r="FK203">
            <v>19</v>
          </cell>
          <cell r="FL203">
            <v>16</v>
          </cell>
          <cell r="FM203">
            <v>3</v>
          </cell>
          <cell r="FN203" t="str">
            <v>1</v>
          </cell>
          <cell r="FO203" t="str">
            <v>0</v>
          </cell>
          <cell r="FP203">
            <v>1</v>
          </cell>
          <cell r="FQ203" t="str">
            <v>21</v>
          </cell>
        </row>
        <row r="204">
          <cell r="F204" t="str">
            <v>이용규</v>
          </cell>
          <cell r="AI204">
            <v>1</v>
          </cell>
          <cell r="AJ204">
            <v>1</v>
          </cell>
          <cell r="AK204">
            <v>1</v>
          </cell>
          <cell r="AL204">
            <v>1</v>
          </cell>
          <cell r="AM204">
            <v>1</v>
          </cell>
          <cell r="AN204">
            <v>1</v>
          </cell>
          <cell r="AO204" t="str">
            <v>(4일)</v>
          </cell>
          <cell r="EG204">
            <v>3</v>
          </cell>
          <cell r="EH204">
            <v>3</v>
          </cell>
          <cell r="FD204">
            <v>11</v>
          </cell>
          <cell r="FE204">
            <v>0</v>
          </cell>
          <cell r="FF204">
            <v>12</v>
          </cell>
          <cell r="FG204">
            <v>4</v>
          </cell>
          <cell r="FH204">
            <v>4</v>
          </cell>
          <cell r="FI204">
            <v>8</v>
          </cell>
          <cell r="FJ204">
            <v>24</v>
          </cell>
          <cell r="FK204">
            <v>16</v>
          </cell>
          <cell r="FL204">
            <v>16</v>
          </cell>
          <cell r="FM204">
            <v>0</v>
          </cell>
          <cell r="FN204" t="str">
            <v>0</v>
          </cell>
          <cell r="FO204" t="str">
            <v>1</v>
          </cell>
          <cell r="FP204">
            <v>1</v>
          </cell>
          <cell r="FQ204" t="str">
            <v>21</v>
          </cell>
        </row>
        <row r="205">
          <cell r="F205" t="str">
            <v>이정열</v>
          </cell>
          <cell r="CT205">
            <v>1</v>
          </cell>
          <cell r="CU205">
            <v>1</v>
          </cell>
          <cell r="CV205">
            <v>1</v>
          </cell>
          <cell r="CW205" t="str">
            <v>(3일)</v>
          </cell>
          <cell r="EE205">
            <v>3</v>
          </cell>
          <cell r="EF205">
            <v>3</v>
          </cell>
          <cell r="FD205">
            <v>9</v>
          </cell>
          <cell r="FE205">
            <v>0</v>
          </cell>
          <cell r="FF205">
            <v>3</v>
          </cell>
          <cell r="FG205">
            <v>3</v>
          </cell>
          <cell r="FH205">
            <v>5</v>
          </cell>
          <cell r="FI205">
            <v>8</v>
          </cell>
          <cell r="FJ205">
            <v>25</v>
          </cell>
          <cell r="FK205">
            <v>17</v>
          </cell>
          <cell r="FL205">
            <v>16</v>
          </cell>
          <cell r="FM205">
            <v>1</v>
          </cell>
          <cell r="FN205" t="str">
            <v>1</v>
          </cell>
          <cell r="FO205" t="str">
            <v>1</v>
          </cell>
          <cell r="FP205">
            <v>2</v>
          </cell>
          <cell r="FQ205" t="str">
            <v>21</v>
          </cell>
        </row>
        <row r="206">
          <cell r="F206" t="str">
            <v>이진아</v>
          </cell>
          <cell r="G206">
            <v>1</v>
          </cell>
          <cell r="H206">
            <v>1</v>
          </cell>
          <cell r="I206">
            <v>1</v>
          </cell>
          <cell r="J206">
            <v>1</v>
          </cell>
          <cell r="K206">
            <v>1</v>
          </cell>
          <cell r="L206">
            <v>1</v>
          </cell>
          <cell r="M206" t="str">
            <v>(5일)</v>
          </cell>
          <cell r="CM206">
            <v>1</v>
          </cell>
          <cell r="CN206">
            <v>1</v>
          </cell>
          <cell r="CO206">
            <v>1</v>
          </cell>
          <cell r="CP206" t="str">
            <v>(3일)</v>
          </cell>
          <cell r="CV206">
            <v>1</v>
          </cell>
          <cell r="CW206" t="str">
            <v>(1일)</v>
          </cell>
          <cell r="DQ206">
            <v>3</v>
          </cell>
          <cell r="DR206">
            <v>3</v>
          </cell>
          <cell r="EL206">
            <v>2</v>
          </cell>
          <cell r="EM206">
            <v>2</v>
          </cell>
          <cell r="FD206">
            <v>11</v>
          </cell>
          <cell r="FE206">
            <v>2</v>
          </cell>
          <cell r="FF206">
            <v>2</v>
          </cell>
          <cell r="FG206">
            <v>9</v>
          </cell>
          <cell r="FH206">
            <v>1</v>
          </cell>
          <cell r="FI206">
            <v>10</v>
          </cell>
          <cell r="FJ206">
            <v>24</v>
          </cell>
          <cell r="FK206">
            <v>14</v>
          </cell>
          <cell r="FL206">
            <v>16</v>
          </cell>
          <cell r="FM206">
            <v>-2</v>
          </cell>
          <cell r="FN206" t="str">
            <v>0</v>
          </cell>
          <cell r="FO206" t="str">
            <v>0</v>
          </cell>
          <cell r="FP206">
            <v>0</v>
          </cell>
          <cell r="FQ206" t="str">
            <v>21</v>
          </cell>
        </row>
        <row r="207">
          <cell r="F207" t="str">
            <v>이창용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M207">
            <v>1</v>
          </cell>
          <cell r="AN207">
            <v>1</v>
          </cell>
          <cell r="AO207" t="str">
            <v>(5일)</v>
          </cell>
          <cell r="BU207">
            <v>1</v>
          </cell>
          <cell r="BV207">
            <v>1</v>
          </cell>
          <cell r="BW207">
            <v>1</v>
          </cell>
          <cell r="BX207" t="str">
            <v>(2일)</v>
          </cell>
          <cell r="EG207">
            <v>3</v>
          </cell>
          <cell r="EH207">
            <v>3</v>
          </cell>
          <cell r="FD207">
            <v>9</v>
          </cell>
          <cell r="FE207">
            <v>0</v>
          </cell>
          <cell r="FF207">
            <v>2</v>
          </cell>
          <cell r="FG207">
            <v>7</v>
          </cell>
          <cell r="FH207">
            <v>0</v>
          </cell>
          <cell r="FI207">
            <v>7</v>
          </cell>
          <cell r="FJ207">
            <v>25</v>
          </cell>
          <cell r="FK207">
            <v>18</v>
          </cell>
          <cell r="FL207">
            <v>16</v>
          </cell>
          <cell r="FM207">
            <v>2</v>
          </cell>
          <cell r="FN207" t="str">
            <v>1</v>
          </cell>
          <cell r="FO207" t="str">
            <v>1</v>
          </cell>
          <cell r="FP207">
            <v>2</v>
          </cell>
          <cell r="FQ207" t="str">
            <v>21</v>
          </cell>
        </row>
        <row r="208">
          <cell r="F208" t="str">
            <v>이필순</v>
          </cell>
          <cell r="G208">
            <v>1</v>
          </cell>
          <cell r="H208">
            <v>1</v>
          </cell>
          <cell r="I208">
            <v>1</v>
          </cell>
          <cell r="J208">
            <v>1</v>
          </cell>
          <cell r="K208">
            <v>1</v>
          </cell>
          <cell r="L208">
            <v>1</v>
          </cell>
          <cell r="M208" t="str">
            <v>(5일)</v>
          </cell>
          <cell r="U208">
            <v>2</v>
          </cell>
          <cell r="V208">
            <v>2</v>
          </cell>
          <cell r="W208">
            <v>2</v>
          </cell>
          <cell r="X208">
            <v>2</v>
          </cell>
          <cell r="Y208">
            <v>2</v>
          </cell>
          <cell r="Z208">
            <v>2</v>
          </cell>
          <cell r="AA208">
            <v>2</v>
          </cell>
          <cell r="AB208">
            <v>2</v>
          </cell>
          <cell r="AC208">
            <v>2</v>
          </cell>
          <cell r="AD208">
            <v>2</v>
          </cell>
          <cell r="AE208">
            <v>2</v>
          </cell>
          <cell r="AF208">
            <v>2</v>
          </cell>
          <cell r="AG208">
            <v>2</v>
          </cell>
          <cell r="AI208">
            <v>2</v>
          </cell>
          <cell r="AJ208">
            <v>2</v>
          </cell>
          <cell r="AK208">
            <v>2</v>
          </cell>
          <cell r="AL208">
            <v>2</v>
          </cell>
          <cell r="AM208">
            <v>2</v>
          </cell>
          <cell r="AN208">
            <v>2</v>
          </cell>
          <cell r="BQ208">
            <v>1</v>
          </cell>
          <cell r="BR208" t="str">
            <v>(1일)</v>
          </cell>
          <cell r="DZ208">
            <v>3</v>
          </cell>
          <cell r="EA208">
            <v>3</v>
          </cell>
          <cell r="FD208">
            <v>7</v>
          </cell>
          <cell r="FE208">
            <v>19</v>
          </cell>
          <cell r="FF208">
            <v>2</v>
          </cell>
          <cell r="FG208">
            <v>6</v>
          </cell>
          <cell r="FH208">
            <v>0</v>
          </cell>
          <cell r="FI208">
            <v>6</v>
          </cell>
          <cell r="FJ208">
            <v>25</v>
          </cell>
          <cell r="FK208">
            <v>19</v>
          </cell>
          <cell r="FL208">
            <v>16</v>
          </cell>
          <cell r="FM208">
            <v>3</v>
          </cell>
          <cell r="FN208" t="str">
            <v>1</v>
          </cell>
          <cell r="FO208" t="str">
            <v>0</v>
          </cell>
          <cell r="FP208">
            <v>1</v>
          </cell>
          <cell r="FQ208" t="str">
            <v>21</v>
          </cell>
        </row>
        <row r="209">
          <cell r="F209" t="str">
            <v>전재윤</v>
          </cell>
          <cell r="BM209">
            <v>3</v>
          </cell>
          <cell r="BN209">
            <v>1</v>
          </cell>
          <cell r="BO209">
            <v>1</v>
          </cell>
          <cell r="BP209">
            <v>1</v>
          </cell>
          <cell r="BQ209">
            <v>1</v>
          </cell>
          <cell r="BR209">
            <v>1</v>
          </cell>
          <cell r="BS209">
            <v>1</v>
          </cell>
          <cell r="BT209">
            <v>1</v>
          </cell>
          <cell r="BU209">
            <v>1</v>
          </cell>
          <cell r="BV209" t="str">
            <v>(6일)</v>
          </cell>
          <cell r="DS209">
            <v>3</v>
          </cell>
          <cell r="DT209">
            <v>3</v>
          </cell>
          <cell r="FD209">
            <v>18</v>
          </cell>
          <cell r="FE209">
            <v>0</v>
          </cell>
          <cell r="FF209">
            <v>3</v>
          </cell>
          <cell r="FG209">
            <v>6</v>
          </cell>
          <cell r="FH209">
            <v>8</v>
          </cell>
          <cell r="FI209">
            <v>14</v>
          </cell>
          <cell r="FJ209">
            <v>24</v>
          </cell>
          <cell r="FK209">
            <v>10</v>
          </cell>
          <cell r="FL209">
            <v>16</v>
          </cell>
          <cell r="FM209">
            <v>-6</v>
          </cell>
          <cell r="FN209" t="str">
            <v>0</v>
          </cell>
          <cell r="FO209" t="str">
            <v>1</v>
          </cell>
          <cell r="FP209">
            <v>1</v>
          </cell>
          <cell r="FQ209" t="str">
            <v>21</v>
          </cell>
        </row>
        <row r="210">
          <cell r="F210" t="str">
            <v>정인경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 t="str">
            <v>(5일)</v>
          </cell>
          <cell r="AW210">
            <v>2</v>
          </cell>
          <cell r="AX210">
            <v>3</v>
          </cell>
          <cell r="AY210">
            <v>3</v>
          </cell>
          <cell r="AZ210">
            <v>3</v>
          </cell>
          <cell r="BA210">
            <v>3</v>
          </cell>
          <cell r="BB210">
            <v>3</v>
          </cell>
          <cell r="BC210">
            <v>3</v>
          </cell>
          <cell r="BD210">
            <v>3</v>
          </cell>
          <cell r="BY210">
            <v>1</v>
          </cell>
          <cell r="BZ210">
            <v>1</v>
          </cell>
          <cell r="CA210">
            <v>1</v>
          </cell>
          <cell r="CB210" t="str">
            <v>(3일)</v>
          </cell>
          <cell r="DV210">
            <v>3</v>
          </cell>
          <cell r="DW210">
            <v>3</v>
          </cell>
          <cell r="EQ210">
            <v>1</v>
          </cell>
          <cell r="ER210">
            <v>1</v>
          </cell>
          <cell r="ES210">
            <v>1</v>
          </cell>
          <cell r="ET210" t="str">
            <v>(3일)</v>
          </cell>
          <cell r="FD210">
            <v>12</v>
          </cell>
          <cell r="FE210">
            <v>1</v>
          </cell>
          <cell r="FF210">
            <v>9</v>
          </cell>
          <cell r="FG210">
            <v>11</v>
          </cell>
          <cell r="FH210">
            <v>0</v>
          </cell>
          <cell r="FI210">
            <v>11</v>
          </cell>
          <cell r="FJ210">
            <v>24</v>
          </cell>
          <cell r="FK210">
            <v>13</v>
          </cell>
          <cell r="FL210">
            <v>16</v>
          </cell>
          <cell r="FM210">
            <v>-3</v>
          </cell>
          <cell r="FN210" t="str">
            <v>0</v>
          </cell>
          <cell r="FO210" t="str">
            <v>0</v>
          </cell>
          <cell r="FP210">
            <v>0</v>
          </cell>
          <cell r="FQ210" t="str">
            <v>21</v>
          </cell>
        </row>
        <row r="211">
          <cell r="F211" t="str">
            <v>조민호</v>
          </cell>
          <cell r="DT211">
            <v>3</v>
          </cell>
          <cell r="DU211">
            <v>3</v>
          </cell>
          <cell r="FD211">
            <v>9</v>
          </cell>
          <cell r="FE211">
            <v>0</v>
          </cell>
          <cell r="FF211">
            <v>2</v>
          </cell>
          <cell r="FH211">
            <v>6</v>
          </cell>
          <cell r="FI211">
            <v>6</v>
          </cell>
          <cell r="FJ211">
            <v>25</v>
          </cell>
          <cell r="FK211">
            <v>19</v>
          </cell>
          <cell r="FL211">
            <v>16</v>
          </cell>
          <cell r="FM211">
            <v>3</v>
          </cell>
          <cell r="FN211" t="str">
            <v>1</v>
          </cell>
          <cell r="FO211" t="str">
            <v>1</v>
          </cell>
          <cell r="FP211">
            <v>2</v>
          </cell>
          <cell r="FQ211" t="str">
            <v>21</v>
          </cell>
        </row>
        <row r="212">
          <cell r="F212" t="str">
            <v>한길수</v>
          </cell>
          <cell r="AN212">
            <v>3</v>
          </cell>
          <cell r="AO212">
            <v>3</v>
          </cell>
          <cell r="AP212">
            <v>3</v>
          </cell>
          <cell r="AQ212">
            <v>3</v>
          </cell>
          <cell r="AR212">
            <v>3</v>
          </cell>
          <cell r="AS212">
            <v>3</v>
          </cell>
          <cell r="AT212">
            <v>3</v>
          </cell>
          <cell r="AU212">
            <v>3</v>
          </cell>
          <cell r="AV212">
            <v>3</v>
          </cell>
          <cell r="AW212">
            <v>3</v>
          </cell>
          <cell r="CW212">
            <v>1</v>
          </cell>
          <cell r="CX212">
            <v>1</v>
          </cell>
          <cell r="CY212">
            <v>1</v>
          </cell>
          <cell r="CZ212" t="str">
            <v>(2일)</v>
          </cell>
          <cell r="DQ212">
            <v>3</v>
          </cell>
          <cell r="DR212">
            <v>3</v>
          </cell>
          <cell r="FD212">
            <v>4</v>
          </cell>
          <cell r="FE212">
            <v>0</v>
          </cell>
          <cell r="FF212">
            <v>12</v>
          </cell>
          <cell r="FG212">
            <v>2</v>
          </cell>
          <cell r="FH212">
            <v>1</v>
          </cell>
          <cell r="FI212">
            <v>3</v>
          </cell>
          <cell r="FJ212">
            <v>24</v>
          </cell>
          <cell r="FK212">
            <v>21</v>
          </cell>
          <cell r="FL212">
            <v>16</v>
          </cell>
          <cell r="FM212">
            <v>5</v>
          </cell>
          <cell r="FN212" t="str">
            <v>1</v>
          </cell>
          <cell r="FO212" t="str">
            <v>1</v>
          </cell>
          <cell r="FP212">
            <v>2</v>
          </cell>
          <cell r="FQ212" t="str">
            <v>21</v>
          </cell>
        </row>
        <row r="213">
          <cell r="F213" t="str">
            <v>한우식</v>
          </cell>
          <cell r="EE213">
            <v>3</v>
          </cell>
          <cell r="EF213">
            <v>3</v>
          </cell>
          <cell r="FD213">
            <v>4</v>
          </cell>
          <cell r="FE213">
            <v>0</v>
          </cell>
          <cell r="FF213">
            <v>2</v>
          </cell>
          <cell r="FH213">
            <v>4</v>
          </cell>
          <cell r="FI213">
            <v>4</v>
          </cell>
          <cell r="FJ213">
            <v>25</v>
          </cell>
          <cell r="FK213">
            <v>21</v>
          </cell>
          <cell r="FL213">
            <v>16</v>
          </cell>
          <cell r="FM213">
            <v>5</v>
          </cell>
          <cell r="FN213" t="str">
            <v>1</v>
          </cell>
          <cell r="FO213" t="str">
            <v>1</v>
          </cell>
          <cell r="FP213">
            <v>2</v>
          </cell>
          <cell r="FQ213" t="str">
            <v>21</v>
          </cell>
        </row>
        <row r="214">
          <cell r="F214" t="str">
            <v>홍동표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 t="str">
            <v>(5일)</v>
          </cell>
          <cell r="BY214">
            <v>1</v>
          </cell>
          <cell r="BZ214">
            <v>1</v>
          </cell>
          <cell r="CA214">
            <v>1</v>
          </cell>
          <cell r="CB214" t="str">
            <v>(3일)</v>
          </cell>
          <cell r="EE214">
            <v>3</v>
          </cell>
          <cell r="EF214">
            <v>3</v>
          </cell>
          <cell r="FD214">
            <v>12</v>
          </cell>
          <cell r="FE214">
            <v>0</v>
          </cell>
          <cell r="FF214">
            <v>2</v>
          </cell>
          <cell r="FG214">
            <v>8</v>
          </cell>
          <cell r="FH214">
            <v>3</v>
          </cell>
          <cell r="FI214">
            <v>11</v>
          </cell>
          <cell r="FJ214">
            <v>24</v>
          </cell>
          <cell r="FK214">
            <v>13</v>
          </cell>
          <cell r="FL214">
            <v>16</v>
          </cell>
          <cell r="FM214">
            <v>-3</v>
          </cell>
          <cell r="FN214" t="str">
            <v>0</v>
          </cell>
          <cell r="FO214" t="str">
            <v>1</v>
          </cell>
          <cell r="FP214">
            <v>1</v>
          </cell>
          <cell r="FQ214" t="str">
            <v>21</v>
          </cell>
        </row>
        <row r="215">
          <cell r="F215" t="str">
            <v>김철윤</v>
          </cell>
          <cell r="G215">
            <v>1</v>
          </cell>
          <cell r="H215">
            <v>1</v>
          </cell>
          <cell r="I215">
            <v>1</v>
          </cell>
          <cell r="J215">
            <v>1</v>
          </cell>
          <cell r="K215">
            <v>1</v>
          </cell>
          <cell r="L215" t="str">
            <v>(5일)</v>
          </cell>
          <cell r="CM215">
            <v>1</v>
          </cell>
          <cell r="CN215">
            <v>1</v>
          </cell>
          <cell r="CO215">
            <v>1</v>
          </cell>
          <cell r="CP215" t="str">
            <v>(3일)</v>
          </cell>
          <cell r="DV215">
            <v>3</v>
          </cell>
          <cell r="DW215">
            <v>3</v>
          </cell>
          <cell r="FD215">
            <v>13</v>
          </cell>
          <cell r="FE215">
            <v>0</v>
          </cell>
          <cell r="FF215">
            <v>2</v>
          </cell>
          <cell r="FG215">
            <v>8</v>
          </cell>
          <cell r="FH215">
            <v>5</v>
          </cell>
          <cell r="FI215">
            <v>13</v>
          </cell>
          <cell r="FJ215">
            <v>24</v>
          </cell>
          <cell r="FK215">
            <v>11</v>
          </cell>
          <cell r="FL215">
            <v>16</v>
          </cell>
          <cell r="FM215">
            <v>-5</v>
          </cell>
          <cell r="FN215" t="str">
            <v>0</v>
          </cell>
          <cell r="FO215" t="str">
            <v>1</v>
          </cell>
          <cell r="FP215">
            <v>1</v>
          </cell>
          <cell r="FQ215" t="str">
            <v>21</v>
          </cell>
        </row>
        <row r="216">
          <cell r="F216" t="str">
            <v>문영훈</v>
          </cell>
          <cell r="AI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N216">
            <v>1</v>
          </cell>
          <cell r="AO216" t="str">
            <v>(5일)</v>
          </cell>
          <cell r="BY216">
            <v>1</v>
          </cell>
          <cell r="BZ216" t="str">
            <v>(1일)</v>
          </cell>
          <cell r="CP216">
            <v>1</v>
          </cell>
          <cell r="CQ216">
            <v>1</v>
          </cell>
          <cell r="CR216">
            <v>1</v>
          </cell>
          <cell r="CS216" t="str">
            <v>(3일)</v>
          </cell>
          <cell r="FD216">
            <v>13</v>
          </cell>
          <cell r="FE216">
            <v>0</v>
          </cell>
          <cell r="FF216">
            <v>0</v>
          </cell>
          <cell r="FG216">
            <v>9</v>
          </cell>
          <cell r="FH216">
            <v>3</v>
          </cell>
          <cell r="FI216">
            <v>12</v>
          </cell>
          <cell r="FJ216">
            <v>23</v>
          </cell>
          <cell r="FK216">
            <v>11</v>
          </cell>
          <cell r="FL216">
            <v>16</v>
          </cell>
          <cell r="FM216">
            <v>-5</v>
          </cell>
          <cell r="FN216" t="str">
            <v>0</v>
          </cell>
          <cell r="FO216" t="str">
            <v>1</v>
          </cell>
          <cell r="FP216">
            <v>1</v>
          </cell>
          <cell r="FQ216" t="str">
            <v>21</v>
          </cell>
        </row>
        <row r="217">
          <cell r="F217" t="str">
            <v>박승태</v>
          </cell>
          <cell r="G217">
            <v>1</v>
          </cell>
          <cell r="H217">
            <v>1</v>
          </cell>
          <cell r="I217">
            <v>1</v>
          </cell>
          <cell r="J217">
            <v>1</v>
          </cell>
          <cell r="K217">
            <v>1</v>
          </cell>
          <cell r="L217">
            <v>1</v>
          </cell>
          <cell r="M217" t="str">
            <v>(5일)</v>
          </cell>
          <cell r="FD217">
            <v>6</v>
          </cell>
          <cell r="FE217">
            <v>0</v>
          </cell>
          <cell r="FF217">
            <v>0</v>
          </cell>
          <cell r="FG217">
            <v>5</v>
          </cell>
          <cell r="FH217">
            <v>0</v>
          </cell>
          <cell r="FI217">
            <v>5</v>
          </cell>
          <cell r="FJ217">
            <v>25</v>
          </cell>
          <cell r="FK217">
            <v>20</v>
          </cell>
          <cell r="FL217">
            <v>16</v>
          </cell>
          <cell r="FM217">
            <v>4</v>
          </cell>
          <cell r="FN217" t="str">
            <v>1</v>
          </cell>
          <cell r="FO217" t="str">
            <v>1</v>
          </cell>
          <cell r="FP217">
            <v>2</v>
          </cell>
          <cell r="FQ217" t="str">
            <v>21</v>
          </cell>
        </row>
        <row r="218">
          <cell r="F218" t="str">
            <v>박오남</v>
          </cell>
          <cell r="CT218">
            <v>1</v>
          </cell>
          <cell r="CU218">
            <v>1</v>
          </cell>
          <cell r="CV218">
            <v>1</v>
          </cell>
          <cell r="CW218" t="str">
            <v>(2일)</v>
          </cell>
          <cell r="DS218">
            <v>3</v>
          </cell>
          <cell r="DT218">
            <v>3</v>
          </cell>
          <cell r="FD218">
            <v>12</v>
          </cell>
          <cell r="FE218">
            <v>0</v>
          </cell>
          <cell r="FF218">
            <v>2</v>
          </cell>
          <cell r="FG218">
            <v>2</v>
          </cell>
          <cell r="FH218">
            <v>7</v>
          </cell>
          <cell r="FI218">
            <v>9</v>
          </cell>
          <cell r="FJ218">
            <v>24</v>
          </cell>
          <cell r="FK218">
            <v>15</v>
          </cell>
          <cell r="FL218">
            <v>16</v>
          </cell>
          <cell r="FM218">
            <v>-1</v>
          </cell>
          <cell r="FN218" t="str">
            <v>0</v>
          </cell>
          <cell r="FO218" t="str">
            <v>1</v>
          </cell>
          <cell r="FP218">
            <v>1</v>
          </cell>
          <cell r="FQ218" t="str">
            <v>21</v>
          </cell>
        </row>
        <row r="219">
          <cell r="F219" t="str">
            <v>양만석</v>
          </cell>
          <cell r="N219">
            <v>1</v>
          </cell>
          <cell r="O219">
            <v>1</v>
          </cell>
          <cell r="P219">
            <v>1</v>
          </cell>
          <cell r="Q219">
            <v>1</v>
          </cell>
          <cell r="R219" t="str">
            <v>(4일)</v>
          </cell>
          <cell r="BU219">
            <v>1</v>
          </cell>
          <cell r="BV219">
            <v>1</v>
          </cell>
          <cell r="BW219" t="str">
            <v>(2일)</v>
          </cell>
          <cell r="DZ219">
            <v>3</v>
          </cell>
          <cell r="EA219">
            <v>3</v>
          </cell>
          <cell r="FD219">
            <v>11</v>
          </cell>
          <cell r="FE219">
            <v>0</v>
          </cell>
          <cell r="FF219">
            <v>2</v>
          </cell>
          <cell r="FG219">
            <v>6</v>
          </cell>
          <cell r="FH219">
            <v>5</v>
          </cell>
          <cell r="FI219">
            <v>11</v>
          </cell>
          <cell r="FJ219">
            <v>25</v>
          </cell>
          <cell r="FK219">
            <v>14</v>
          </cell>
          <cell r="FL219">
            <v>16</v>
          </cell>
          <cell r="FM219">
            <v>-2</v>
          </cell>
          <cell r="FN219" t="str">
            <v>0</v>
          </cell>
          <cell r="FO219" t="str">
            <v>1</v>
          </cell>
          <cell r="FP219">
            <v>1</v>
          </cell>
          <cell r="FQ219" t="str">
            <v>21</v>
          </cell>
        </row>
        <row r="220">
          <cell r="F220" t="str">
            <v>이희식</v>
          </cell>
          <cell r="S220">
            <v>1</v>
          </cell>
          <cell r="T220">
            <v>1</v>
          </cell>
          <cell r="U220">
            <v>1</v>
          </cell>
          <cell r="V220" t="str">
            <v>(2일)</v>
          </cell>
          <cell r="CB220">
            <v>1</v>
          </cell>
          <cell r="CC220">
            <v>1</v>
          </cell>
          <cell r="CD220">
            <v>1</v>
          </cell>
          <cell r="CE220" t="str">
            <v>(2일)</v>
          </cell>
          <cell r="FD220">
            <v>6</v>
          </cell>
          <cell r="FE220">
            <v>0</v>
          </cell>
          <cell r="FF220">
            <v>0</v>
          </cell>
          <cell r="FG220">
            <v>4</v>
          </cell>
          <cell r="FH220">
            <v>0</v>
          </cell>
          <cell r="FI220">
            <v>4</v>
          </cell>
          <cell r="FJ220">
            <v>25</v>
          </cell>
          <cell r="FK220">
            <v>21</v>
          </cell>
          <cell r="FL220">
            <v>16</v>
          </cell>
          <cell r="FM220">
            <v>5</v>
          </cell>
          <cell r="FN220" t="str">
            <v>1</v>
          </cell>
          <cell r="FO220" t="str">
            <v>1</v>
          </cell>
          <cell r="FP220">
            <v>2</v>
          </cell>
          <cell r="FQ220" t="str">
            <v>21</v>
          </cell>
        </row>
        <row r="221">
          <cell r="F221" t="str">
            <v>조휴신</v>
          </cell>
          <cell r="FD221">
            <v>2</v>
          </cell>
          <cell r="FE221">
            <v>0</v>
          </cell>
          <cell r="FF221">
            <v>0</v>
          </cell>
          <cell r="FG221">
            <v>4</v>
          </cell>
          <cell r="FH221">
            <v>0.5</v>
          </cell>
          <cell r="FI221">
            <v>4.5</v>
          </cell>
          <cell r="FJ221">
            <v>24</v>
          </cell>
          <cell r="FK221">
            <v>19.5</v>
          </cell>
          <cell r="FL221">
            <v>16</v>
          </cell>
          <cell r="FM221">
            <v>3.5</v>
          </cell>
          <cell r="FN221" t="str">
            <v>1</v>
          </cell>
          <cell r="FO221" t="str">
            <v>1</v>
          </cell>
          <cell r="FP221">
            <v>2</v>
          </cell>
          <cell r="FQ221" t="str">
            <v>21</v>
          </cell>
        </row>
        <row r="222">
          <cell r="F222" t="str">
            <v>최치환</v>
          </cell>
          <cell r="CP222">
            <v>1</v>
          </cell>
          <cell r="CQ222">
            <v>1</v>
          </cell>
          <cell r="CR222">
            <v>1</v>
          </cell>
          <cell r="CS222" t="str">
            <v>(2일)</v>
          </cell>
          <cell r="FD222">
            <v>5</v>
          </cell>
          <cell r="FE222">
            <v>0</v>
          </cell>
          <cell r="FF222">
            <v>0</v>
          </cell>
          <cell r="FG222">
            <v>2</v>
          </cell>
          <cell r="FH222">
            <v>2</v>
          </cell>
          <cell r="FI222">
            <v>4</v>
          </cell>
          <cell r="FJ222">
            <v>25</v>
          </cell>
          <cell r="FK222">
            <v>21</v>
          </cell>
          <cell r="FL222">
            <v>16</v>
          </cell>
          <cell r="FM222">
            <v>5</v>
          </cell>
          <cell r="FN222" t="str">
            <v>1</v>
          </cell>
          <cell r="FO222" t="str">
            <v>1</v>
          </cell>
          <cell r="FP222">
            <v>2</v>
          </cell>
          <cell r="FQ222" t="str">
            <v>21</v>
          </cell>
        </row>
        <row r="223">
          <cell r="F223" t="str">
            <v>한창교</v>
          </cell>
          <cell r="G223">
            <v>1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 t="str">
            <v>(5일)</v>
          </cell>
          <cell r="CI223">
            <v>1</v>
          </cell>
          <cell r="CJ223">
            <v>1</v>
          </cell>
          <cell r="CK223">
            <v>1</v>
          </cell>
          <cell r="CL223" t="str">
            <v>(3일)</v>
          </cell>
          <cell r="EC223">
            <v>3</v>
          </cell>
          <cell r="ED223">
            <v>3</v>
          </cell>
          <cell r="FD223">
            <v>12</v>
          </cell>
          <cell r="FE223">
            <v>0</v>
          </cell>
          <cell r="FF223">
            <v>2</v>
          </cell>
          <cell r="FG223">
            <v>8</v>
          </cell>
          <cell r="FH223">
            <v>3</v>
          </cell>
          <cell r="FI223">
            <v>11</v>
          </cell>
          <cell r="FJ223">
            <v>25</v>
          </cell>
          <cell r="FK223">
            <v>14</v>
          </cell>
          <cell r="FL223">
            <v>16</v>
          </cell>
          <cell r="FM223">
            <v>-2</v>
          </cell>
          <cell r="FN223" t="str">
            <v>0</v>
          </cell>
          <cell r="FO223" t="str">
            <v>1</v>
          </cell>
          <cell r="FP223">
            <v>1</v>
          </cell>
          <cell r="FQ223" t="str">
            <v>21</v>
          </cell>
        </row>
        <row r="224">
          <cell r="F224" t="str">
            <v>강신우</v>
          </cell>
          <cell r="CF224">
            <v>1</v>
          </cell>
          <cell r="CG224">
            <v>1</v>
          </cell>
          <cell r="CH224">
            <v>1</v>
          </cell>
          <cell r="CI224" t="str">
            <v>(3일)</v>
          </cell>
          <cell r="DQ224">
            <v>3</v>
          </cell>
          <cell r="DR224">
            <v>3</v>
          </cell>
          <cell r="FD224">
            <v>13</v>
          </cell>
          <cell r="FE224">
            <v>0</v>
          </cell>
          <cell r="FF224">
            <v>5</v>
          </cell>
          <cell r="FG224">
            <v>3</v>
          </cell>
          <cell r="FH224">
            <v>9</v>
          </cell>
          <cell r="FI224">
            <v>12</v>
          </cell>
          <cell r="FJ224">
            <v>24</v>
          </cell>
          <cell r="FK224">
            <v>12</v>
          </cell>
          <cell r="FL224">
            <v>16</v>
          </cell>
          <cell r="FM224">
            <v>-4</v>
          </cell>
          <cell r="FN224" t="str">
            <v>0</v>
          </cell>
          <cell r="FO224" t="str">
            <v>1</v>
          </cell>
          <cell r="FP224">
            <v>1</v>
          </cell>
          <cell r="FQ224" t="str">
            <v>21</v>
          </cell>
        </row>
        <row r="225">
          <cell r="F225" t="str">
            <v>김광기</v>
          </cell>
          <cell r="CC225">
            <v>3</v>
          </cell>
          <cell r="CD225">
            <v>3</v>
          </cell>
          <cell r="CE225">
            <v>3</v>
          </cell>
          <cell r="CF225">
            <v>3</v>
          </cell>
          <cell r="CG225">
            <v>3</v>
          </cell>
          <cell r="FD225">
            <v>9</v>
          </cell>
          <cell r="FE225">
            <v>0</v>
          </cell>
          <cell r="FF225">
            <v>5</v>
          </cell>
          <cell r="FH225">
            <v>7</v>
          </cell>
          <cell r="FI225">
            <v>7</v>
          </cell>
          <cell r="FJ225">
            <v>25</v>
          </cell>
          <cell r="FK225">
            <v>18</v>
          </cell>
          <cell r="FL225">
            <v>16</v>
          </cell>
          <cell r="FM225">
            <v>2</v>
          </cell>
          <cell r="FN225" t="str">
            <v>1</v>
          </cell>
          <cell r="FO225" t="str">
            <v>1</v>
          </cell>
          <cell r="FP225">
            <v>2</v>
          </cell>
          <cell r="FQ225" t="str">
            <v>21</v>
          </cell>
        </row>
        <row r="226">
          <cell r="F226" t="str">
            <v>김문성</v>
          </cell>
          <cell r="G226">
            <v>1</v>
          </cell>
          <cell r="H226">
            <v>1</v>
          </cell>
          <cell r="I226">
            <v>1</v>
          </cell>
          <cell r="J226">
            <v>1</v>
          </cell>
          <cell r="K226">
            <v>1</v>
          </cell>
          <cell r="L226">
            <v>1</v>
          </cell>
          <cell r="M226" t="str">
            <v>(4일)</v>
          </cell>
          <cell r="CB226">
            <v>1</v>
          </cell>
          <cell r="CC226">
            <v>1</v>
          </cell>
          <cell r="CD226">
            <v>1</v>
          </cell>
          <cell r="CE226" t="str">
            <v>(2일)</v>
          </cell>
          <cell r="DV226">
            <v>3</v>
          </cell>
          <cell r="DW226">
            <v>3</v>
          </cell>
          <cell r="FD226">
            <v>12</v>
          </cell>
          <cell r="FE226">
            <v>0</v>
          </cell>
          <cell r="FF226">
            <v>2</v>
          </cell>
          <cell r="FG226">
            <v>6</v>
          </cell>
          <cell r="FH226">
            <v>1</v>
          </cell>
          <cell r="FI226">
            <v>7</v>
          </cell>
          <cell r="FJ226">
            <v>25</v>
          </cell>
          <cell r="FK226">
            <v>18</v>
          </cell>
          <cell r="FL226">
            <v>16</v>
          </cell>
          <cell r="FM226">
            <v>2</v>
          </cell>
          <cell r="FN226" t="str">
            <v>1</v>
          </cell>
          <cell r="FO226" t="str">
            <v>1</v>
          </cell>
          <cell r="FP226">
            <v>2</v>
          </cell>
          <cell r="FQ226" t="str">
            <v>21</v>
          </cell>
        </row>
        <row r="227">
          <cell r="F227" t="str">
            <v>김영우</v>
          </cell>
          <cell r="BH227">
            <v>1</v>
          </cell>
          <cell r="BI227" t="str">
            <v>(1일)</v>
          </cell>
          <cell r="CB227">
            <v>1</v>
          </cell>
          <cell r="CC227">
            <v>1</v>
          </cell>
          <cell r="CD227">
            <v>1</v>
          </cell>
          <cell r="CE227" t="str">
            <v>(3일)</v>
          </cell>
          <cell r="DO227">
            <v>3</v>
          </cell>
          <cell r="DP227">
            <v>3</v>
          </cell>
          <cell r="EY227">
            <v>1</v>
          </cell>
          <cell r="EZ227">
            <v>1</v>
          </cell>
          <cell r="FA227">
            <v>1</v>
          </cell>
          <cell r="FB227" t="str">
            <v>(3일)</v>
          </cell>
          <cell r="FD227">
            <v>7</v>
          </cell>
          <cell r="FE227">
            <v>0</v>
          </cell>
          <cell r="FF227">
            <v>9</v>
          </cell>
          <cell r="FG227">
            <v>7</v>
          </cell>
          <cell r="FH227">
            <v>0</v>
          </cell>
          <cell r="FI227">
            <v>7</v>
          </cell>
          <cell r="FJ227">
            <v>24</v>
          </cell>
          <cell r="FK227">
            <v>17</v>
          </cell>
          <cell r="FL227">
            <v>16</v>
          </cell>
          <cell r="FM227">
            <v>1</v>
          </cell>
          <cell r="FN227" t="str">
            <v>1</v>
          </cell>
          <cell r="FO227" t="str">
            <v>1</v>
          </cell>
          <cell r="FP227">
            <v>2</v>
          </cell>
          <cell r="FQ227" t="str">
            <v>21</v>
          </cell>
        </row>
        <row r="228">
          <cell r="F228" t="str">
            <v>김학수</v>
          </cell>
          <cell r="CM228">
            <v>1</v>
          </cell>
          <cell r="CN228">
            <v>1</v>
          </cell>
          <cell r="CO228">
            <v>1</v>
          </cell>
          <cell r="CP228" t="str">
            <v>(3일)</v>
          </cell>
          <cell r="EC228">
            <v>3</v>
          </cell>
          <cell r="ED228">
            <v>3</v>
          </cell>
          <cell r="FD228">
            <v>13</v>
          </cell>
          <cell r="FE228">
            <v>0</v>
          </cell>
          <cell r="FF228">
            <v>2</v>
          </cell>
          <cell r="FG228">
            <v>3</v>
          </cell>
          <cell r="FH228">
            <v>9</v>
          </cell>
          <cell r="FI228">
            <v>12</v>
          </cell>
          <cell r="FJ228">
            <v>23</v>
          </cell>
          <cell r="FK228">
            <v>11</v>
          </cell>
          <cell r="FL228">
            <v>16</v>
          </cell>
          <cell r="FM228">
            <v>-5</v>
          </cell>
          <cell r="FN228" t="str">
            <v>0</v>
          </cell>
          <cell r="FO228" t="str">
            <v>1</v>
          </cell>
          <cell r="FP228">
            <v>1</v>
          </cell>
          <cell r="FQ228" t="str">
            <v>21</v>
          </cell>
        </row>
        <row r="229">
          <cell r="F229" t="str">
            <v>박경원</v>
          </cell>
          <cell r="Z229">
            <v>2</v>
          </cell>
          <cell r="AR229">
            <v>4</v>
          </cell>
          <cell r="AS229">
            <v>4</v>
          </cell>
          <cell r="AT229">
            <v>4</v>
          </cell>
          <cell r="FD229">
            <v>9</v>
          </cell>
          <cell r="FE229">
            <v>1</v>
          </cell>
          <cell r="FF229">
            <v>0</v>
          </cell>
          <cell r="FG229">
            <v>0</v>
          </cell>
          <cell r="FH229">
            <v>8</v>
          </cell>
          <cell r="FI229">
            <v>8</v>
          </cell>
          <cell r="FJ229">
            <v>24</v>
          </cell>
          <cell r="FK229">
            <v>16</v>
          </cell>
          <cell r="FL229">
            <v>16</v>
          </cell>
          <cell r="FM229">
            <v>0</v>
          </cell>
          <cell r="FN229" t="str">
            <v>0</v>
          </cell>
          <cell r="FO229" t="str">
            <v>0</v>
          </cell>
          <cell r="FP229">
            <v>0</v>
          </cell>
          <cell r="FQ229" t="str">
            <v>21</v>
          </cell>
        </row>
        <row r="230">
          <cell r="F230" t="str">
            <v>박찬구</v>
          </cell>
          <cell r="AN230">
            <v>1</v>
          </cell>
          <cell r="AO230" t="str">
            <v>(1일)</v>
          </cell>
          <cell r="CB230">
            <v>1</v>
          </cell>
          <cell r="CC230">
            <v>1</v>
          </cell>
          <cell r="CD230">
            <v>1</v>
          </cell>
          <cell r="CE230" t="str">
            <v>(3일)</v>
          </cell>
          <cell r="DQ230">
            <v>3</v>
          </cell>
          <cell r="DR230">
            <v>3</v>
          </cell>
          <cell r="FD230">
            <v>15</v>
          </cell>
          <cell r="FE230">
            <v>0</v>
          </cell>
          <cell r="FF230">
            <v>2</v>
          </cell>
          <cell r="FG230">
            <v>4</v>
          </cell>
          <cell r="FH230">
            <v>9.5</v>
          </cell>
          <cell r="FI230">
            <v>13.5</v>
          </cell>
          <cell r="FJ230">
            <v>24</v>
          </cell>
          <cell r="FK230">
            <v>10.5</v>
          </cell>
          <cell r="FL230">
            <v>16</v>
          </cell>
          <cell r="FM230">
            <v>-5.5</v>
          </cell>
          <cell r="FN230" t="str">
            <v>0</v>
          </cell>
          <cell r="FO230" t="str">
            <v>1</v>
          </cell>
          <cell r="FP230">
            <v>1</v>
          </cell>
          <cell r="FQ230" t="str">
            <v>21</v>
          </cell>
        </row>
        <row r="231">
          <cell r="F231" t="str">
            <v>배동운</v>
          </cell>
          <cell r="U231">
            <v>1</v>
          </cell>
          <cell r="V231">
            <v>1</v>
          </cell>
          <cell r="W231">
            <v>1</v>
          </cell>
          <cell r="X231">
            <v>1</v>
          </cell>
          <cell r="Y231">
            <v>1</v>
          </cell>
          <cell r="Z231">
            <v>1</v>
          </cell>
          <cell r="AA231" t="str">
            <v>(4일)</v>
          </cell>
          <cell r="CI231">
            <v>1</v>
          </cell>
          <cell r="CJ231">
            <v>1</v>
          </cell>
          <cell r="CK231">
            <v>1</v>
          </cell>
          <cell r="CL231" t="str">
            <v>(2일)</v>
          </cell>
          <cell r="EE231">
            <v>3</v>
          </cell>
          <cell r="EF231">
            <v>3</v>
          </cell>
          <cell r="FD231">
            <v>12</v>
          </cell>
          <cell r="FE231">
            <v>0</v>
          </cell>
          <cell r="FF231">
            <v>5</v>
          </cell>
          <cell r="FG231">
            <v>6</v>
          </cell>
          <cell r="FH231">
            <v>2</v>
          </cell>
          <cell r="FI231">
            <v>8</v>
          </cell>
          <cell r="FJ231">
            <v>23</v>
          </cell>
          <cell r="FK231">
            <v>15</v>
          </cell>
          <cell r="FL231">
            <v>16</v>
          </cell>
          <cell r="FM231">
            <v>-1</v>
          </cell>
          <cell r="FN231" t="str">
            <v>0</v>
          </cell>
          <cell r="FO231" t="str">
            <v>1</v>
          </cell>
          <cell r="FP231">
            <v>1</v>
          </cell>
          <cell r="FQ231" t="str">
            <v>21</v>
          </cell>
        </row>
        <row r="232">
          <cell r="F232" t="str">
            <v>송영길</v>
          </cell>
          <cell r="N232">
            <v>1</v>
          </cell>
          <cell r="O232">
            <v>1</v>
          </cell>
          <cell r="P232">
            <v>1</v>
          </cell>
          <cell r="Q232">
            <v>1</v>
          </cell>
          <cell r="R232">
            <v>1</v>
          </cell>
          <cell r="S232">
            <v>1</v>
          </cell>
          <cell r="T232" t="str">
            <v>(5일)</v>
          </cell>
          <cell r="FD232">
            <v>6</v>
          </cell>
          <cell r="FE232">
            <v>0</v>
          </cell>
          <cell r="FF232">
            <v>0</v>
          </cell>
          <cell r="FG232">
            <v>5</v>
          </cell>
          <cell r="FH232">
            <v>0</v>
          </cell>
          <cell r="FI232">
            <v>5</v>
          </cell>
          <cell r="FJ232">
            <v>24</v>
          </cell>
          <cell r="FK232">
            <v>19</v>
          </cell>
          <cell r="FL232">
            <v>16</v>
          </cell>
          <cell r="FM232">
            <v>3</v>
          </cell>
          <cell r="FN232" t="str">
            <v>1</v>
          </cell>
          <cell r="FO232" t="str">
            <v>1</v>
          </cell>
          <cell r="FP232">
            <v>2</v>
          </cell>
          <cell r="FQ232" t="str">
            <v>21</v>
          </cell>
        </row>
        <row r="233">
          <cell r="F233" t="str">
            <v>안현달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 t="str">
            <v>(4일)</v>
          </cell>
          <cell r="BY233">
            <v>1</v>
          </cell>
          <cell r="BZ233">
            <v>1</v>
          </cell>
          <cell r="CA233">
            <v>1</v>
          </cell>
          <cell r="CB233" t="str">
            <v>(2일)</v>
          </cell>
          <cell r="DY233">
            <v>3</v>
          </cell>
          <cell r="DZ233">
            <v>3</v>
          </cell>
          <cell r="FD233">
            <v>16</v>
          </cell>
          <cell r="FE233">
            <v>0</v>
          </cell>
          <cell r="FF233">
            <v>2</v>
          </cell>
          <cell r="FG233">
            <v>6</v>
          </cell>
          <cell r="FH233">
            <v>4</v>
          </cell>
          <cell r="FI233">
            <v>10</v>
          </cell>
          <cell r="FJ233">
            <v>24</v>
          </cell>
          <cell r="FK233">
            <v>14</v>
          </cell>
          <cell r="FL233">
            <v>16</v>
          </cell>
          <cell r="FM233">
            <v>-2</v>
          </cell>
          <cell r="FN233" t="str">
            <v>0</v>
          </cell>
          <cell r="FO233" t="str">
            <v>1</v>
          </cell>
          <cell r="FP233">
            <v>1</v>
          </cell>
          <cell r="FQ233" t="str">
            <v>21</v>
          </cell>
        </row>
        <row r="234">
          <cell r="F234" t="str">
            <v>윤경석</v>
          </cell>
          <cell r="CB234">
            <v>1</v>
          </cell>
          <cell r="CC234">
            <v>1</v>
          </cell>
          <cell r="CD234">
            <v>1</v>
          </cell>
          <cell r="CE234" t="str">
            <v>(3일)</v>
          </cell>
          <cell r="CZ234">
            <v>1</v>
          </cell>
          <cell r="DA234" t="str">
            <v>(1일)</v>
          </cell>
          <cell r="EG234">
            <v>3</v>
          </cell>
          <cell r="EH234">
            <v>3</v>
          </cell>
          <cell r="FD234">
            <v>7</v>
          </cell>
          <cell r="FE234">
            <v>0</v>
          </cell>
          <cell r="FF234">
            <v>2</v>
          </cell>
          <cell r="FG234">
            <v>4</v>
          </cell>
          <cell r="FH234">
            <v>3</v>
          </cell>
          <cell r="FI234">
            <v>7</v>
          </cell>
          <cell r="FJ234">
            <v>25</v>
          </cell>
          <cell r="FK234">
            <v>18</v>
          </cell>
          <cell r="FL234">
            <v>16</v>
          </cell>
          <cell r="FM234">
            <v>2</v>
          </cell>
          <cell r="FN234" t="str">
            <v>1</v>
          </cell>
          <cell r="FO234" t="str">
            <v>1</v>
          </cell>
          <cell r="FP234">
            <v>2</v>
          </cell>
          <cell r="FQ234" t="str">
            <v>21</v>
          </cell>
        </row>
        <row r="235">
          <cell r="F235" t="str">
            <v>이동형</v>
          </cell>
          <cell r="N235">
            <v>1</v>
          </cell>
          <cell r="O235">
            <v>1</v>
          </cell>
          <cell r="P235">
            <v>1</v>
          </cell>
          <cell r="Q235">
            <v>1</v>
          </cell>
          <cell r="R235">
            <v>1</v>
          </cell>
          <cell r="S235">
            <v>1</v>
          </cell>
          <cell r="T235" t="str">
            <v>(4일)</v>
          </cell>
          <cell r="BW235">
            <v>3</v>
          </cell>
          <cell r="BX235">
            <v>3</v>
          </cell>
          <cell r="BY235">
            <v>3</v>
          </cell>
          <cell r="BZ235">
            <v>3</v>
          </cell>
          <cell r="CA235">
            <v>3</v>
          </cell>
          <cell r="CB235">
            <v>3</v>
          </cell>
          <cell r="CC235">
            <v>3</v>
          </cell>
          <cell r="CD235">
            <v>1</v>
          </cell>
          <cell r="CE235" t="str">
            <v>(1일)</v>
          </cell>
          <cell r="CT235">
            <v>1</v>
          </cell>
          <cell r="CU235">
            <v>1</v>
          </cell>
          <cell r="CV235">
            <v>1</v>
          </cell>
          <cell r="CW235" t="str">
            <v>(2일)</v>
          </cell>
          <cell r="DZ235">
            <v>3</v>
          </cell>
          <cell r="EA235">
            <v>3</v>
          </cell>
          <cell r="FD235">
            <v>11</v>
          </cell>
          <cell r="FE235">
            <v>0</v>
          </cell>
          <cell r="FF235">
            <v>9</v>
          </cell>
          <cell r="FG235">
            <v>7</v>
          </cell>
          <cell r="FH235">
            <v>1</v>
          </cell>
          <cell r="FI235">
            <v>8</v>
          </cell>
          <cell r="FJ235">
            <v>25</v>
          </cell>
          <cell r="FK235">
            <v>17</v>
          </cell>
          <cell r="FL235">
            <v>16</v>
          </cell>
          <cell r="FM235">
            <v>1</v>
          </cell>
          <cell r="FN235" t="str">
            <v>1</v>
          </cell>
          <cell r="FO235" t="str">
            <v>1</v>
          </cell>
          <cell r="FP235">
            <v>2</v>
          </cell>
          <cell r="FQ235" t="str">
            <v>21</v>
          </cell>
        </row>
        <row r="236">
          <cell r="F236" t="str">
            <v>이석배</v>
          </cell>
          <cell r="G236">
            <v>1</v>
          </cell>
          <cell r="H236">
            <v>1</v>
          </cell>
          <cell r="I236">
            <v>1</v>
          </cell>
          <cell r="J236">
            <v>1</v>
          </cell>
          <cell r="K236">
            <v>1</v>
          </cell>
          <cell r="L236">
            <v>1</v>
          </cell>
          <cell r="M236" t="str">
            <v>(5일)</v>
          </cell>
          <cell r="CF236">
            <v>1</v>
          </cell>
          <cell r="CG236">
            <v>1</v>
          </cell>
          <cell r="CH236">
            <v>1</v>
          </cell>
          <cell r="CI236" t="str">
            <v>(3일)</v>
          </cell>
          <cell r="EC236">
            <v>3</v>
          </cell>
          <cell r="ED236">
            <v>3</v>
          </cell>
          <cell r="EO236">
            <v>2</v>
          </cell>
          <cell r="EP236">
            <v>2</v>
          </cell>
          <cell r="EQ236">
            <v>2</v>
          </cell>
          <cell r="ER236">
            <v>2</v>
          </cell>
          <cell r="ES236">
            <v>2</v>
          </cell>
          <cell r="ET236">
            <v>2</v>
          </cell>
          <cell r="EU236">
            <v>2</v>
          </cell>
          <cell r="FD236">
            <v>9</v>
          </cell>
          <cell r="FE236">
            <v>7</v>
          </cell>
          <cell r="FF236">
            <v>5</v>
          </cell>
          <cell r="FG236">
            <v>8</v>
          </cell>
          <cell r="FH236">
            <v>0</v>
          </cell>
          <cell r="FI236">
            <v>8</v>
          </cell>
          <cell r="FJ236">
            <v>25</v>
          </cell>
          <cell r="FK236">
            <v>17</v>
          </cell>
          <cell r="FL236">
            <v>16</v>
          </cell>
          <cell r="FM236">
            <v>1</v>
          </cell>
          <cell r="FN236" t="str">
            <v>1</v>
          </cell>
          <cell r="FO236" t="str">
            <v>0</v>
          </cell>
          <cell r="FP236">
            <v>1</v>
          </cell>
          <cell r="FQ236" t="str">
            <v>21</v>
          </cell>
        </row>
        <row r="237">
          <cell r="F237" t="str">
            <v>이태형</v>
          </cell>
          <cell r="G237">
            <v>1</v>
          </cell>
          <cell r="H237">
            <v>1</v>
          </cell>
          <cell r="I237">
            <v>1</v>
          </cell>
          <cell r="J237">
            <v>1</v>
          </cell>
          <cell r="K237">
            <v>1</v>
          </cell>
          <cell r="L237">
            <v>1</v>
          </cell>
          <cell r="M237" t="str">
            <v>(5일)</v>
          </cell>
          <cell r="CW237">
            <v>1</v>
          </cell>
          <cell r="CX237">
            <v>1</v>
          </cell>
          <cell r="CY237">
            <v>1</v>
          </cell>
          <cell r="CZ237" t="str">
            <v>(3일)</v>
          </cell>
          <cell r="DZ237">
            <v>3</v>
          </cell>
          <cell r="EA237">
            <v>3</v>
          </cell>
          <cell r="FD237">
            <v>12</v>
          </cell>
          <cell r="FE237">
            <v>2</v>
          </cell>
          <cell r="FF237">
            <v>2</v>
          </cell>
          <cell r="FG237">
            <v>8</v>
          </cell>
          <cell r="FH237">
            <v>2</v>
          </cell>
          <cell r="FI237">
            <v>10</v>
          </cell>
          <cell r="FJ237">
            <v>25</v>
          </cell>
          <cell r="FK237">
            <v>15</v>
          </cell>
          <cell r="FL237">
            <v>16</v>
          </cell>
          <cell r="FM237">
            <v>-1</v>
          </cell>
          <cell r="FN237" t="str">
            <v>0</v>
          </cell>
          <cell r="FO237" t="str">
            <v>0</v>
          </cell>
          <cell r="FP237">
            <v>0</v>
          </cell>
          <cell r="FQ237" t="str">
            <v>21</v>
          </cell>
        </row>
        <row r="238">
          <cell r="F238" t="str">
            <v>이혁진</v>
          </cell>
          <cell r="U238">
            <v>1</v>
          </cell>
          <cell r="V238">
            <v>1</v>
          </cell>
          <cell r="W238">
            <v>1</v>
          </cell>
          <cell r="X238">
            <v>1</v>
          </cell>
          <cell r="Y238">
            <v>1</v>
          </cell>
          <cell r="Z238">
            <v>1</v>
          </cell>
          <cell r="AA238" t="str">
            <v>(5일)</v>
          </cell>
          <cell r="CI238">
            <v>1</v>
          </cell>
          <cell r="CJ238">
            <v>1</v>
          </cell>
          <cell r="CK238">
            <v>1</v>
          </cell>
          <cell r="CL238" t="str">
            <v>(3일)</v>
          </cell>
          <cell r="DV238">
            <v>3</v>
          </cell>
          <cell r="DW238">
            <v>3</v>
          </cell>
          <cell r="FD238">
            <v>12</v>
          </cell>
          <cell r="FE238">
            <v>0</v>
          </cell>
          <cell r="FF238">
            <v>3</v>
          </cell>
          <cell r="FG238">
            <v>8</v>
          </cell>
          <cell r="FH238">
            <v>2</v>
          </cell>
          <cell r="FI238">
            <v>10</v>
          </cell>
          <cell r="FJ238">
            <v>24</v>
          </cell>
          <cell r="FK238">
            <v>14</v>
          </cell>
          <cell r="FL238">
            <v>16</v>
          </cell>
          <cell r="FM238">
            <v>-2</v>
          </cell>
          <cell r="FN238" t="str">
            <v>0</v>
          </cell>
          <cell r="FO238" t="str">
            <v>1</v>
          </cell>
          <cell r="FP238">
            <v>1</v>
          </cell>
          <cell r="FQ238" t="str">
            <v>21</v>
          </cell>
        </row>
        <row r="239">
          <cell r="F239" t="str">
            <v>인진남</v>
          </cell>
          <cell r="BU239">
            <v>1</v>
          </cell>
          <cell r="BV239">
            <v>1</v>
          </cell>
          <cell r="BW239">
            <v>1</v>
          </cell>
          <cell r="BX239" t="str">
            <v>(2일)</v>
          </cell>
          <cell r="DO239">
            <v>3</v>
          </cell>
          <cell r="DP239">
            <v>3</v>
          </cell>
          <cell r="FD239">
            <v>12</v>
          </cell>
          <cell r="FE239">
            <v>0</v>
          </cell>
          <cell r="FF239">
            <v>2</v>
          </cell>
          <cell r="FG239">
            <v>2</v>
          </cell>
          <cell r="FH239">
            <v>6</v>
          </cell>
          <cell r="FI239">
            <v>8</v>
          </cell>
          <cell r="FJ239">
            <v>24</v>
          </cell>
          <cell r="FK239">
            <v>16</v>
          </cell>
          <cell r="FL239">
            <v>16</v>
          </cell>
          <cell r="FM239">
            <v>0</v>
          </cell>
          <cell r="FN239" t="str">
            <v>0</v>
          </cell>
          <cell r="FO239" t="str">
            <v>1</v>
          </cell>
          <cell r="FP239">
            <v>1</v>
          </cell>
          <cell r="FQ239" t="str">
            <v>21</v>
          </cell>
        </row>
        <row r="240">
          <cell r="F240" t="str">
            <v>정낙윤</v>
          </cell>
          <cell r="CF240">
            <v>1</v>
          </cell>
          <cell r="CG240">
            <v>1</v>
          </cell>
          <cell r="CH240">
            <v>1</v>
          </cell>
          <cell r="CI240" t="str">
            <v>(2일)</v>
          </cell>
          <cell r="DU240">
            <v>3</v>
          </cell>
          <cell r="FD240">
            <v>12</v>
          </cell>
          <cell r="FE240">
            <v>0</v>
          </cell>
          <cell r="FF240">
            <v>1</v>
          </cell>
          <cell r="FG240">
            <v>2</v>
          </cell>
          <cell r="FH240">
            <v>7</v>
          </cell>
          <cell r="FI240">
            <v>9</v>
          </cell>
          <cell r="FJ240">
            <v>25</v>
          </cell>
          <cell r="FK240">
            <v>16</v>
          </cell>
          <cell r="FL240">
            <v>16</v>
          </cell>
          <cell r="FM240">
            <v>0</v>
          </cell>
          <cell r="FN240" t="str">
            <v>0</v>
          </cell>
          <cell r="FO240" t="str">
            <v>1</v>
          </cell>
          <cell r="FP240">
            <v>1</v>
          </cell>
          <cell r="FQ240" t="str">
            <v>21</v>
          </cell>
        </row>
        <row r="241">
          <cell r="F241" t="str">
            <v>정현룡</v>
          </cell>
          <cell r="AI241">
            <v>1</v>
          </cell>
          <cell r="AJ241">
            <v>1</v>
          </cell>
          <cell r="AK241">
            <v>1</v>
          </cell>
          <cell r="AL241">
            <v>1</v>
          </cell>
          <cell r="AM241">
            <v>1</v>
          </cell>
          <cell r="AN241">
            <v>1</v>
          </cell>
          <cell r="AO241" t="str">
            <v>(5일)</v>
          </cell>
          <cell r="CT241">
            <v>1</v>
          </cell>
          <cell r="CU241">
            <v>1</v>
          </cell>
          <cell r="CV241">
            <v>1</v>
          </cell>
          <cell r="CW241" t="str">
            <v>(3일)</v>
          </cell>
          <cell r="DX241">
            <v>3</v>
          </cell>
          <cell r="DY241">
            <v>3</v>
          </cell>
          <cell r="FD241">
            <v>13</v>
          </cell>
          <cell r="FE241">
            <v>0</v>
          </cell>
          <cell r="FF241">
            <v>2</v>
          </cell>
          <cell r="FG241">
            <v>8</v>
          </cell>
          <cell r="FH241">
            <v>4</v>
          </cell>
          <cell r="FI241">
            <v>12</v>
          </cell>
          <cell r="FJ241">
            <v>25</v>
          </cell>
          <cell r="FK241">
            <v>13</v>
          </cell>
          <cell r="FL241">
            <v>16</v>
          </cell>
          <cell r="FM241">
            <v>-3</v>
          </cell>
          <cell r="FN241" t="str">
            <v>0</v>
          </cell>
          <cell r="FO241" t="str">
            <v>1</v>
          </cell>
          <cell r="FP241">
            <v>1</v>
          </cell>
          <cell r="FQ241" t="str">
            <v>21</v>
          </cell>
        </row>
        <row r="242">
          <cell r="F242" t="str">
            <v>정형균</v>
          </cell>
          <cell r="H242">
            <v>3</v>
          </cell>
          <cell r="I242">
            <v>3</v>
          </cell>
          <cell r="J242">
            <v>3</v>
          </cell>
          <cell r="U242">
            <v>1</v>
          </cell>
          <cell r="V242">
            <v>1</v>
          </cell>
          <cell r="W242">
            <v>1</v>
          </cell>
          <cell r="X242">
            <v>1</v>
          </cell>
          <cell r="Y242">
            <v>1</v>
          </cell>
          <cell r="Z242">
            <v>1</v>
          </cell>
          <cell r="AA242" t="str">
            <v>(4일)</v>
          </cell>
          <cell r="CB242">
            <v>1</v>
          </cell>
          <cell r="CC242">
            <v>1</v>
          </cell>
          <cell r="CD242">
            <v>1</v>
          </cell>
          <cell r="CE242" t="str">
            <v>(2일)</v>
          </cell>
          <cell r="DO242">
            <v>3</v>
          </cell>
          <cell r="DP242">
            <v>3</v>
          </cell>
          <cell r="FD242">
            <v>9</v>
          </cell>
          <cell r="FE242">
            <v>0</v>
          </cell>
          <cell r="FF242">
            <v>12</v>
          </cell>
          <cell r="FG242">
            <v>6</v>
          </cell>
          <cell r="FH242">
            <v>0</v>
          </cell>
          <cell r="FI242">
            <v>6</v>
          </cell>
          <cell r="FJ242">
            <v>24</v>
          </cell>
          <cell r="FK242">
            <v>18</v>
          </cell>
          <cell r="FL242">
            <v>16</v>
          </cell>
          <cell r="FM242">
            <v>2</v>
          </cell>
          <cell r="FN242" t="str">
            <v>1</v>
          </cell>
          <cell r="FO242" t="str">
            <v>1</v>
          </cell>
          <cell r="FP242">
            <v>2</v>
          </cell>
          <cell r="FQ242" t="str">
            <v>21</v>
          </cell>
        </row>
        <row r="243">
          <cell r="F243" t="str">
            <v>최인식</v>
          </cell>
          <cell r="N243">
            <v>1</v>
          </cell>
          <cell r="O243">
            <v>1</v>
          </cell>
          <cell r="P243">
            <v>1</v>
          </cell>
          <cell r="Q243">
            <v>1</v>
          </cell>
          <cell r="R243">
            <v>1</v>
          </cell>
          <cell r="S243">
            <v>1</v>
          </cell>
          <cell r="T243" t="str">
            <v>(4일)</v>
          </cell>
          <cell r="CP243">
            <v>1</v>
          </cell>
          <cell r="CQ243">
            <v>1</v>
          </cell>
          <cell r="CR243">
            <v>1</v>
          </cell>
          <cell r="CS243" t="str">
            <v>(2일)</v>
          </cell>
          <cell r="FD243">
            <v>12</v>
          </cell>
          <cell r="FE243">
            <v>0</v>
          </cell>
          <cell r="FF243">
            <v>0</v>
          </cell>
          <cell r="FG243">
            <v>6</v>
          </cell>
          <cell r="FH243">
            <v>3</v>
          </cell>
          <cell r="FI243">
            <v>9</v>
          </cell>
          <cell r="FJ243">
            <v>24</v>
          </cell>
          <cell r="FK243">
            <v>15</v>
          </cell>
          <cell r="FL243">
            <v>16</v>
          </cell>
          <cell r="FM243">
            <v>-1</v>
          </cell>
          <cell r="FN243" t="str">
            <v>0</v>
          </cell>
          <cell r="FO243" t="str">
            <v>1</v>
          </cell>
          <cell r="FP243">
            <v>1</v>
          </cell>
          <cell r="FQ243" t="str">
            <v>21</v>
          </cell>
        </row>
        <row r="244">
          <cell r="F244" t="str">
            <v>최희중</v>
          </cell>
          <cell r="G244">
            <v>1</v>
          </cell>
          <cell r="H244">
            <v>1</v>
          </cell>
          <cell r="I244">
            <v>1</v>
          </cell>
          <cell r="J244">
            <v>1</v>
          </cell>
          <cell r="K244">
            <v>1</v>
          </cell>
          <cell r="L244">
            <v>1</v>
          </cell>
          <cell r="M244" t="str">
            <v>(5일)</v>
          </cell>
          <cell r="CB244">
            <v>1</v>
          </cell>
          <cell r="CC244">
            <v>1</v>
          </cell>
          <cell r="CD244">
            <v>1</v>
          </cell>
          <cell r="CE244" t="str">
            <v>(2일)</v>
          </cell>
          <cell r="DQ244">
            <v>3</v>
          </cell>
          <cell r="DR244">
            <v>3</v>
          </cell>
          <cell r="FD244">
            <v>10</v>
          </cell>
          <cell r="FE244">
            <v>0</v>
          </cell>
          <cell r="FF244">
            <v>2</v>
          </cell>
          <cell r="FG244">
            <v>7</v>
          </cell>
          <cell r="FH244">
            <v>1</v>
          </cell>
          <cell r="FI244">
            <v>8</v>
          </cell>
          <cell r="FJ244">
            <v>25</v>
          </cell>
          <cell r="FK244">
            <v>17</v>
          </cell>
          <cell r="FL244">
            <v>16</v>
          </cell>
          <cell r="FM244">
            <v>1</v>
          </cell>
          <cell r="FN244" t="str">
            <v>1</v>
          </cell>
          <cell r="FO244" t="str">
            <v>1</v>
          </cell>
          <cell r="FP244">
            <v>2</v>
          </cell>
          <cell r="FQ244" t="str">
            <v>21</v>
          </cell>
        </row>
        <row r="245">
          <cell r="F245" t="str">
            <v>김민철</v>
          </cell>
          <cell r="CM245">
            <v>1</v>
          </cell>
          <cell r="CN245">
            <v>1</v>
          </cell>
          <cell r="CO245">
            <v>1</v>
          </cell>
          <cell r="CP245" t="str">
            <v>(3일)</v>
          </cell>
          <cell r="DV245">
            <v>3</v>
          </cell>
          <cell r="DW245">
            <v>3</v>
          </cell>
          <cell r="FD245">
            <v>12</v>
          </cell>
          <cell r="FE245">
            <v>0</v>
          </cell>
          <cell r="FF245">
            <v>2</v>
          </cell>
          <cell r="FG245">
            <v>3</v>
          </cell>
          <cell r="FH245">
            <v>8</v>
          </cell>
          <cell r="FI245">
            <v>11</v>
          </cell>
          <cell r="FJ245">
            <v>24</v>
          </cell>
          <cell r="FK245">
            <v>13</v>
          </cell>
          <cell r="FL245">
            <v>16</v>
          </cell>
          <cell r="FM245">
            <v>-3</v>
          </cell>
          <cell r="FN245" t="str">
            <v>0</v>
          </cell>
          <cell r="FO245" t="str">
            <v>1</v>
          </cell>
          <cell r="FP245">
            <v>1</v>
          </cell>
          <cell r="FQ245" t="str">
            <v>21</v>
          </cell>
        </row>
        <row r="246">
          <cell r="F246" t="str">
            <v>박영오</v>
          </cell>
          <cell r="N246">
            <v>1</v>
          </cell>
          <cell r="O246">
            <v>1</v>
          </cell>
          <cell r="P246">
            <v>1</v>
          </cell>
          <cell r="Q246">
            <v>1</v>
          </cell>
          <cell r="R246">
            <v>1</v>
          </cell>
          <cell r="S246">
            <v>1</v>
          </cell>
          <cell r="T246" t="str">
            <v>(5일)</v>
          </cell>
          <cell r="CI246">
            <v>1</v>
          </cell>
          <cell r="CJ246">
            <v>1</v>
          </cell>
          <cell r="CK246">
            <v>1</v>
          </cell>
          <cell r="CL246" t="str">
            <v>(2일)</v>
          </cell>
          <cell r="DO246">
            <v>3</v>
          </cell>
          <cell r="DP246">
            <v>3</v>
          </cell>
          <cell r="FD246">
            <v>17</v>
          </cell>
          <cell r="FE246">
            <v>0</v>
          </cell>
          <cell r="FF246">
            <v>2</v>
          </cell>
          <cell r="FG246">
            <v>7</v>
          </cell>
          <cell r="FH246">
            <v>6</v>
          </cell>
          <cell r="FI246">
            <v>13</v>
          </cell>
          <cell r="FJ246">
            <v>23</v>
          </cell>
          <cell r="FK246">
            <v>10</v>
          </cell>
          <cell r="FL246">
            <v>16</v>
          </cell>
          <cell r="FM246">
            <v>-6</v>
          </cell>
          <cell r="FN246" t="str">
            <v>0</v>
          </cell>
          <cell r="FO246" t="str">
            <v>1</v>
          </cell>
          <cell r="FP246">
            <v>1</v>
          </cell>
          <cell r="FQ246" t="str">
            <v>21</v>
          </cell>
        </row>
        <row r="247">
          <cell r="F247" t="str">
            <v>박환</v>
          </cell>
          <cell r="CI247">
            <v>1</v>
          </cell>
          <cell r="CJ247">
            <v>1</v>
          </cell>
          <cell r="CK247">
            <v>1</v>
          </cell>
          <cell r="CL247" t="str">
            <v>(2일)</v>
          </cell>
          <cell r="DV247">
            <v>3</v>
          </cell>
          <cell r="DW247">
            <v>3</v>
          </cell>
          <cell r="FD247">
            <v>9</v>
          </cell>
          <cell r="FE247">
            <v>0</v>
          </cell>
          <cell r="FF247">
            <v>13</v>
          </cell>
          <cell r="FG247">
            <v>2</v>
          </cell>
          <cell r="FH247">
            <v>4</v>
          </cell>
          <cell r="FI247">
            <v>6</v>
          </cell>
          <cell r="FJ247">
            <v>24</v>
          </cell>
          <cell r="FK247">
            <v>18</v>
          </cell>
          <cell r="FL247">
            <v>16</v>
          </cell>
          <cell r="FM247">
            <v>2</v>
          </cell>
          <cell r="FN247" t="str">
            <v>1</v>
          </cell>
          <cell r="FO247" t="str">
            <v>1</v>
          </cell>
          <cell r="FP247">
            <v>2</v>
          </cell>
          <cell r="FQ247" t="str">
            <v>21</v>
          </cell>
        </row>
        <row r="248">
          <cell r="F248" t="str">
            <v>신창호</v>
          </cell>
          <cell r="BI248">
            <v>3</v>
          </cell>
          <cell r="BJ248">
            <v>3</v>
          </cell>
          <cell r="BK248">
            <v>3</v>
          </cell>
          <cell r="BL248">
            <v>3</v>
          </cell>
          <cell r="BM248">
            <v>3</v>
          </cell>
          <cell r="BN248">
            <v>3</v>
          </cell>
          <cell r="BO248">
            <v>3</v>
          </cell>
          <cell r="CT248">
            <v>1</v>
          </cell>
          <cell r="CU248">
            <v>1</v>
          </cell>
          <cell r="CV248">
            <v>1</v>
          </cell>
          <cell r="CW248" t="str">
            <v>(3일)</v>
          </cell>
          <cell r="EE248">
            <v>3</v>
          </cell>
          <cell r="EF248">
            <v>3</v>
          </cell>
          <cell r="FD248">
            <v>13</v>
          </cell>
          <cell r="FE248">
            <v>0</v>
          </cell>
          <cell r="FF248">
            <v>9</v>
          </cell>
          <cell r="FG248">
            <v>3</v>
          </cell>
          <cell r="FH248">
            <v>8.5</v>
          </cell>
          <cell r="FI248">
            <v>11.5</v>
          </cell>
          <cell r="FJ248">
            <v>25</v>
          </cell>
          <cell r="FK248">
            <v>13.5</v>
          </cell>
          <cell r="FL248">
            <v>16</v>
          </cell>
          <cell r="FM248">
            <v>-2.5</v>
          </cell>
          <cell r="FN248" t="str">
            <v>0</v>
          </cell>
          <cell r="FO248" t="str">
            <v>1</v>
          </cell>
          <cell r="FP248">
            <v>1</v>
          </cell>
          <cell r="FQ248" t="str">
            <v>21</v>
          </cell>
        </row>
        <row r="249">
          <cell r="F249" t="str">
            <v>이창호</v>
          </cell>
          <cell r="CF249">
            <v>1</v>
          </cell>
          <cell r="CG249">
            <v>1</v>
          </cell>
          <cell r="CH249">
            <v>1</v>
          </cell>
          <cell r="CI249" t="str">
            <v>(2일)</v>
          </cell>
          <cell r="DQ249">
            <v>3</v>
          </cell>
          <cell r="DR249">
            <v>3</v>
          </cell>
          <cell r="EO249">
            <v>3</v>
          </cell>
          <cell r="EP249">
            <v>3</v>
          </cell>
          <cell r="EQ249">
            <v>3</v>
          </cell>
          <cell r="ER249">
            <v>3</v>
          </cell>
          <cell r="ES249">
            <v>3</v>
          </cell>
          <cell r="ET249">
            <v>3</v>
          </cell>
          <cell r="EU249">
            <v>3</v>
          </cell>
          <cell r="FD249">
            <v>14</v>
          </cell>
          <cell r="FE249">
            <v>0</v>
          </cell>
          <cell r="FF249">
            <v>9</v>
          </cell>
          <cell r="FG249">
            <v>2</v>
          </cell>
          <cell r="FH249">
            <v>8</v>
          </cell>
          <cell r="FI249">
            <v>10</v>
          </cell>
          <cell r="FJ249">
            <v>25</v>
          </cell>
          <cell r="FK249">
            <v>15</v>
          </cell>
          <cell r="FL249">
            <v>16</v>
          </cell>
          <cell r="FM249">
            <v>-1</v>
          </cell>
          <cell r="FN249" t="str">
            <v>0</v>
          </cell>
          <cell r="FO249" t="str">
            <v>1</v>
          </cell>
          <cell r="FP249">
            <v>1</v>
          </cell>
          <cell r="FQ249" t="str">
            <v>21</v>
          </cell>
        </row>
        <row r="250">
          <cell r="F250" t="str">
            <v>홍주희</v>
          </cell>
          <cell r="CP250">
            <v>1</v>
          </cell>
          <cell r="CQ250">
            <v>1</v>
          </cell>
          <cell r="CR250" t="str">
            <v>(2일)</v>
          </cell>
          <cell r="FD250">
            <v>7</v>
          </cell>
          <cell r="FE250">
            <v>0</v>
          </cell>
          <cell r="FF250">
            <v>0</v>
          </cell>
          <cell r="FG250">
            <v>2</v>
          </cell>
          <cell r="FH250">
            <v>4</v>
          </cell>
          <cell r="FI250">
            <v>6</v>
          </cell>
          <cell r="FJ250">
            <v>17</v>
          </cell>
          <cell r="FK250">
            <v>11</v>
          </cell>
          <cell r="FL250">
            <v>16</v>
          </cell>
          <cell r="FM250">
            <v>-5</v>
          </cell>
          <cell r="FN250" t="str">
            <v>0</v>
          </cell>
          <cell r="FO250" t="str">
            <v>1</v>
          </cell>
          <cell r="FP250">
            <v>1</v>
          </cell>
          <cell r="FQ250">
            <v>18</v>
          </cell>
        </row>
        <row r="251">
          <cell r="F251" t="str">
            <v>이창우</v>
          </cell>
          <cell r="AI251">
            <v>1</v>
          </cell>
          <cell r="AJ251">
            <v>1</v>
          </cell>
          <cell r="AK251">
            <v>1</v>
          </cell>
          <cell r="AL251">
            <v>1</v>
          </cell>
          <cell r="AM251">
            <v>1</v>
          </cell>
          <cell r="AN251">
            <v>1</v>
          </cell>
          <cell r="AO251" t="str">
            <v>(5일)</v>
          </cell>
          <cell r="CB251">
            <v>1</v>
          </cell>
          <cell r="CC251">
            <v>1</v>
          </cell>
          <cell r="CD251">
            <v>1</v>
          </cell>
          <cell r="CE251" t="str">
            <v>(2일)</v>
          </cell>
          <cell r="DQ251">
            <v>3</v>
          </cell>
          <cell r="DR251">
            <v>3</v>
          </cell>
          <cell r="FD251">
            <v>10</v>
          </cell>
          <cell r="FE251">
            <v>0</v>
          </cell>
          <cell r="FF251">
            <v>2</v>
          </cell>
          <cell r="FG251">
            <v>7</v>
          </cell>
          <cell r="FH251">
            <v>1</v>
          </cell>
          <cell r="FI251">
            <v>8</v>
          </cell>
          <cell r="FJ251">
            <v>24</v>
          </cell>
          <cell r="FK251">
            <v>16</v>
          </cell>
          <cell r="FL251">
            <v>16</v>
          </cell>
          <cell r="FM251">
            <v>0</v>
          </cell>
          <cell r="FN251" t="str">
            <v>0</v>
          </cell>
          <cell r="FO251" t="str">
            <v>1</v>
          </cell>
          <cell r="FP251">
            <v>1</v>
          </cell>
          <cell r="FQ251" t="str">
            <v>21</v>
          </cell>
        </row>
        <row r="252">
          <cell r="F252" t="str">
            <v>김태기</v>
          </cell>
          <cell r="G252">
            <v>1</v>
          </cell>
          <cell r="H252">
            <v>1</v>
          </cell>
          <cell r="I252">
            <v>1</v>
          </cell>
          <cell r="J252">
            <v>1</v>
          </cell>
          <cell r="K252">
            <v>1</v>
          </cell>
          <cell r="L252">
            <v>1</v>
          </cell>
          <cell r="M252" t="str">
            <v>(5일)</v>
          </cell>
          <cell r="CF252">
            <v>1</v>
          </cell>
          <cell r="CG252">
            <v>1</v>
          </cell>
          <cell r="CH252">
            <v>1</v>
          </cell>
          <cell r="CI252" t="str">
            <v>(3일)</v>
          </cell>
          <cell r="DV252">
            <v>3</v>
          </cell>
          <cell r="DW252">
            <v>3</v>
          </cell>
          <cell r="EC252">
            <v>3</v>
          </cell>
          <cell r="FD252">
            <v>13</v>
          </cell>
          <cell r="FE252">
            <v>0</v>
          </cell>
          <cell r="FF252">
            <v>3</v>
          </cell>
          <cell r="FG252">
            <v>8</v>
          </cell>
          <cell r="FH252">
            <v>4</v>
          </cell>
          <cell r="FI252">
            <v>12</v>
          </cell>
          <cell r="FJ252">
            <v>24</v>
          </cell>
          <cell r="FK252">
            <v>12</v>
          </cell>
          <cell r="FL252">
            <v>16</v>
          </cell>
          <cell r="FM252">
            <v>-4</v>
          </cell>
          <cell r="FN252" t="str">
            <v>0</v>
          </cell>
          <cell r="FO252" t="str">
            <v>1</v>
          </cell>
          <cell r="FP252">
            <v>1</v>
          </cell>
          <cell r="FQ252" t="str">
            <v>21</v>
          </cell>
        </row>
        <row r="253">
          <cell r="F253" t="str">
            <v>이무홍</v>
          </cell>
          <cell r="Y253">
            <v>2</v>
          </cell>
          <cell r="Z253">
            <v>2</v>
          </cell>
          <cell r="AA253">
            <v>2</v>
          </cell>
          <cell r="AB253">
            <v>2</v>
          </cell>
          <cell r="AC253">
            <v>2</v>
          </cell>
          <cell r="AD253">
            <v>2</v>
          </cell>
          <cell r="AE253">
            <v>2</v>
          </cell>
          <cell r="AF253">
            <v>2</v>
          </cell>
          <cell r="FD253">
            <v>2</v>
          </cell>
          <cell r="FE253">
            <v>8</v>
          </cell>
          <cell r="FF253">
            <v>0</v>
          </cell>
          <cell r="FH253">
            <v>2</v>
          </cell>
          <cell r="FI253">
            <v>2</v>
          </cell>
          <cell r="FJ253">
            <v>25</v>
          </cell>
          <cell r="FK253">
            <v>23</v>
          </cell>
          <cell r="FL253">
            <v>16</v>
          </cell>
          <cell r="FM253">
            <v>7</v>
          </cell>
          <cell r="FN253" t="str">
            <v>1</v>
          </cell>
          <cell r="FO253" t="str">
            <v>0</v>
          </cell>
          <cell r="FP253">
            <v>1</v>
          </cell>
          <cell r="FQ253" t="str">
            <v>21</v>
          </cell>
        </row>
        <row r="254">
          <cell r="F254" t="str">
            <v>신정교</v>
          </cell>
          <cell r="BQ254">
            <v>1</v>
          </cell>
          <cell r="CT254">
            <v>1</v>
          </cell>
          <cell r="CU254">
            <v>1</v>
          </cell>
          <cell r="CV254">
            <v>1</v>
          </cell>
          <cell r="CW254" t="str">
            <v>(3일)</v>
          </cell>
          <cell r="DZ254">
            <v>3</v>
          </cell>
          <cell r="EA254">
            <v>3</v>
          </cell>
          <cell r="FD254">
            <v>14</v>
          </cell>
          <cell r="FE254">
            <v>0</v>
          </cell>
          <cell r="FF254">
            <v>2</v>
          </cell>
          <cell r="FG254">
            <v>3</v>
          </cell>
          <cell r="FH254">
            <v>8</v>
          </cell>
          <cell r="FI254">
            <v>11</v>
          </cell>
          <cell r="FJ254">
            <v>24</v>
          </cell>
          <cell r="FK254">
            <v>13</v>
          </cell>
          <cell r="FL254">
            <v>16</v>
          </cell>
          <cell r="FM254">
            <v>-3</v>
          </cell>
          <cell r="FN254" t="str">
            <v>0</v>
          </cell>
          <cell r="FO254" t="str">
            <v>1</v>
          </cell>
          <cell r="FP254">
            <v>1</v>
          </cell>
          <cell r="FQ254" t="str">
            <v>21</v>
          </cell>
        </row>
        <row r="255">
          <cell r="F255" t="str">
            <v>김정규</v>
          </cell>
          <cell r="W255">
            <v>1</v>
          </cell>
          <cell r="X255">
            <v>1</v>
          </cell>
          <cell r="Y255">
            <v>1</v>
          </cell>
          <cell r="Z255">
            <v>1</v>
          </cell>
          <cell r="AA255" t="str">
            <v>(3일)</v>
          </cell>
          <cell r="FD255">
            <v>4</v>
          </cell>
          <cell r="FE255">
            <v>0</v>
          </cell>
          <cell r="FF255">
            <v>4</v>
          </cell>
          <cell r="FG255">
            <v>3</v>
          </cell>
          <cell r="FH255">
            <v>0</v>
          </cell>
          <cell r="FI255">
            <v>3</v>
          </cell>
          <cell r="FJ255">
            <v>25</v>
          </cell>
          <cell r="FK255">
            <v>22</v>
          </cell>
          <cell r="FL255">
            <v>16</v>
          </cell>
          <cell r="FM255">
            <v>6</v>
          </cell>
          <cell r="FN255" t="str">
            <v>1</v>
          </cell>
          <cell r="FO255" t="str">
            <v>1</v>
          </cell>
          <cell r="FP255">
            <v>2</v>
          </cell>
          <cell r="FQ255" t="str">
            <v>21</v>
          </cell>
        </row>
        <row r="256">
          <cell r="F256" t="str">
            <v>김한준</v>
          </cell>
          <cell r="CM256">
            <v>1</v>
          </cell>
          <cell r="CN256">
            <v>1</v>
          </cell>
          <cell r="CO256">
            <v>1</v>
          </cell>
          <cell r="CP256" t="str">
            <v>(3일)</v>
          </cell>
          <cell r="DX256">
            <v>3</v>
          </cell>
          <cell r="DY256">
            <v>3</v>
          </cell>
          <cell r="FD256">
            <v>11</v>
          </cell>
          <cell r="FE256">
            <v>0</v>
          </cell>
          <cell r="FF256">
            <v>2</v>
          </cell>
          <cell r="FG256">
            <v>3</v>
          </cell>
          <cell r="FH256">
            <v>7</v>
          </cell>
          <cell r="FI256">
            <v>10</v>
          </cell>
          <cell r="FJ256">
            <v>24</v>
          </cell>
          <cell r="FK256">
            <v>14</v>
          </cell>
          <cell r="FL256">
            <v>16</v>
          </cell>
          <cell r="FM256">
            <v>-2</v>
          </cell>
          <cell r="FN256" t="str">
            <v>0</v>
          </cell>
          <cell r="FO256" t="str">
            <v>1</v>
          </cell>
          <cell r="FP256">
            <v>1</v>
          </cell>
          <cell r="FQ256" t="str">
            <v>21</v>
          </cell>
        </row>
        <row r="257">
          <cell r="F257" t="str">
            <v>길준용</v>
          </cell>
          <cell r="CD257">
            <v>1</v>
          </cell>
          <cell r="CE257" t="str">
            <v>(1일)</v>
          </cell>
          <cell r="DQ257">
            <v>3</v>
          </cell>
          <cell r="DR257">
            <v>3</v>
          </cell>
          <cell r="EJ257">
            <v>1</v>
          </cell>
          <cell r="EK257">
            <v>1</v>
          </cell>
          <cell r="EL257">
            <v>1</v>
          </cell>
          <cell r="EM257" t="str">
            <v>(2일)</v>
          </cell>
          <cell r="FD257">
            <v>13</v>
          </cell>
          <cell r="FE257">
            <v>0</v>
          </cell>
          <cell r="FF257">
            <v>2</v>
          </cell>
          <cell r="FG257">
            <v>3</v>
          </cell>
          <cell r="FH257">
            <v>5</v>
          </cell>
          <cell r="FI257">
            <v>8</v>
          </cell>
          <cell r="FJ257">
            <v>23</v>
          </cell>
          <cell r="FK257">
            <v>15</v>
          </cell>
          <cell r="FL257">
            <v>16</v>
          </cell>
          <cell r="FM257">
            <v>-1</v>
          </cell>
          <cell r="FN257" t="str">
            <v>0</v>
          </cell>
          <cell r="FO257" t="str">
            <v>1</v>
          </cell>
          <cell r="FP257">
            <v>1</v>
          </cell>
          <cell r="FQ257" t="str">
            <v>21</v>
          </cell>
        </row>
        <row r="258">
          <cell r="F258" t="str">
            <v>최대권</v>
          </cell>
          <cell r="N258">
            <v>1</v>
          </cell>
          <cell r="O258">
            <v>1</v>
          </cell>
          <cell r="P258">
            <v>1</v>
          </cell>
          <cell r="Q258">
            <v>1</v>
          </cell>
          <cell r="R258">
            <v>1</v>
          </cell>
          <cell r="S258">
            <v>1</v>
          </cell>
          <cell r="T258" t="str">
            <v>(3일)</v>
          </cell>
          <cell r="AO258">
            <v>1</v>
          </cell>
          <cell r="AP258" t="str">
            <v>(1일)</v>
          </cell>
          <cell r="BX258">
            <v>1</v>
          </cell>
          <cell r="BY258" t="str">
            <v>(1일)</v>
          </cell>
          <cell r="CK258">
            <v>1</v>
          </cell>
          <cell r="CL258" t="str">
            <v>(1일)</v>
          </cell>
          <cell r="CY258">
            <v>1</v>
          </cell>
          <cell r="CZ258" t="str">
            <v>(1일)</v>
          </cell>
          <cell r="DZ258">
            <v>3</v>
          </cell>
          <cell r="EA258">
            <v>3</v>
          </cell>
          <cell r="FD258">
            <v>14</v>
          </cell>
          <cell r="FE258">
            <v>5</v>
          </cell>
          <cell r="FF258">
            <v>2</v>
          </cell>
          <cell r="FG258">
            <v>7</v>
          </cell>
          <cell r="FH258">
            <v>4</v>
          </cell>
          <cell r="FI258">
            <v>11</v>
          </cell>
          <cell r="FJ258">
            <v>24</v>
          </cell>
          <cell r="FK258">
            <v>13</v>
          </cell>
          <cell r="FL258">
            <v>16</v>
          </cell>
          <cell r="FM258">
            <v>-3</v>
          </cell>
          <cell r="FN258" t="str">
            <v>0</v>
          </cell>
          <cell r="FO258" t="str">
            <v>0</v>
          </cell>
          <cell r="FP258">
            <v>0</v>
          </cell>
          <cell r="FQ258" t="str">
            <v>21</v>
          </cell>
        </row>
        <row r="259">
          <cell r="F259" t="str">
            <v>이상현</v>
          </cell>
          <cell r="N259">
            <v>1</v>
          </cell>
          <cell r="O259">
            <v>1</v>
          </cell>
          <cell r="P259">
            <v>1</v>
          </cell>
          <cell r="Q259">
            <v>1</v>
          </cell>
          <cell r="R259">
            <v>1</v>
          </cell>
          <cell r="S259">
            <v>1</v>
          </cell>
          <cell r="T259" t="str">
            <v>(3일)</v>
          </cell>
          <cell r="CP259">
            <v>1</v>
          </cell>
          <cell r="CQ259" t="str">
            <v>(1일)</v>
          </cell>
          <cell r="DE259">
            <v>2</v>
          </cell>
          <cell r="DS259">
            <v>3</v>
          </cell>
          <cell r="DT259">
            <v>3</v>
          </cell>
          <cell r="FD259">
            <v>8</v>
          </cell>
          <cell r="FE259">
            <v>1</v>
          </cell>
          <cell r="FF259">
            <v>2</v>
          </cell>
          <cell r="FG259">
            <v>4</v>
          </cell>
          <cell r="FH259">
            <v>1</v>
          </cell>
          <cell r="FI259">
            <v>5</v>
          </cell>
          <cell r="FJ259">
            <v>25</v>
          </cell>
          <cell r="FK259">
            <v>20</v>
          </cell>
          <cell r="FL259">
            <v>16</v>
          </cell>
          <cell r="FM259">
            <v>4</v>
          </cell>
          <cell r="FN259" t="str">
            <v>1</v>
          </cell>
          <cell r="FO259" t="str">
            <v>0</v>
          </cell>
          <cell r="FP259">
            <v>1</v>
          </cell>
          <cell r="FQ259" t="str">
            <v>21</v>
          </cell>
        </row>
        <row r="260">
          <cell r="F260" t="str">
            <v>최량</v>
          </cell>
          <cell r="U260">
            <v>1</v>
          </cell>
          <cell r="V260">
            <v>1</v>
          </cell>
          <cell r="W260">
            <v>1</v>
          </cell>
          <cell r="X260">
            <v>1</v>
          </cell>
          <cell r="Y260">
            <v>1</v>
          </cell>
          <cell r="Z260">
            <v>1</v>
          </cell>
          <cell r="AA260" t="str">
            <v>(4일)</v>
          </cell>
          <cell r="CW260">
            <v>1</v>
          </cell>
          <cell r="CX260">
            <v>1</v>
          </cell>
          <cell r="CY260">
            <v>1</v>
          </cell>
          <cell r="CZ260" t="str">
            <v>(2일)</v>
          </cell>
          <cell r="DX260">
            <v>3</v>
          </cell>
          <cell r="DY260">
            <v>3</v>
          </cell>
          <cell r="FD260">
            <v>9</v>
          </cell>
          <cell r="FE260">
            <v>0</v>
          </cell>
          <cell r="FF260">
            <v>8</v>
          </cell>
          <cell r="FG260">
            <v>6</v>
          </cell>
          <cell r="FH260">
            <v>0</v>
          </cell>
          <cell r="FI260">
            <v>6</v>
          </cell>
          <cell r="FJ260">
            <v>25</v>
          </cell>
          <cell r="FK260">
            <v>19</v>
          </cell>
          <cell r="FL260">
            <v>16</v>
          </cell>
          <cell r="FM260">
            <v>3</v>
          </cell>
          <cell r="FN260" t="str">
            <v>1</v>
          </cell>
          <cell r="FO260" t="str">
            <v>1</v>
          </cell>
          <cell r="FP260">
            <v>2</v>
          </cell>
          <cell r="FQ260" t="str">
            <v>21</v>
          </cell>
        </row>
        <row r="261">
          <cell r="F261" t="str">
            <v>송우현</v>
          </cell>
          <cell r="BM261">
            <v>3</v>
          </cell>
          <cell r="BY261">
            <v>3</v>
          </cell>
          <cell r="EO261">
            <v>3</v>
          </cell>
          <cell r="FD261">
            <v>6</v>
          </cell>
          <cell r="FE261">
            <v>0</v>
          </cell>
          <cell r="FF261">
            <v>4</v>
          </cell>
          <cell r="FG261">
            <v>0</v>
          </cell>
          <cell r="FH261">
            <v>3</v>
          </cell>
          <cell r="FI261">
            <v>3</v>
          </cell>
          <cell r="FJ261">
            <v>25</v>
          </cell>
          <cell r="FK261">
            <v>22</v>
          </cell>
          <cell r="FL261">
            <v>16</v>
          </cell>
          <cell r="FM261">
            <v>6</v>
          </cell>
          <cell r="FN261" t="str">
            <v>1</v>
          </cell>
          <cell r="FO261" t="str">
            <v>1</v>
          </cell>
          <cell r="FP261">
            <v>2</v>
          </cell>
          <cell r="FQ261" t="str">
            <v>21</v>
          </cell>
        </row>
        <row r="262">
          <cell r="F262" t="str">
            <v>조기수</v>
          </cell>
          <cell r="G262">
            <v>1</v>
          </cell>
          <cell r="H262">
            <v>1</v>
          </cell>
          <cell r="I262">
            <v>1</v>
          </cell>
          <cell r="J262">
            <v>1</v>
          </cell>
          <cell r="K262">
            <v>1</v>
          </cell>
          <cell r="L262">
            <v>1</v>
          </cell>
          <cell r="M262" t="str">
            <v>(3일)</v>
          </cell>
          <cell r="BM262">
            <v>3</v>
          </cell>
          <cell r="CC262">
            <v>3</v>
          </cell>
          <cell r="DU262">
            <v>3</v>
          </cell>
          <cell r="FD262">
            <v>6</v>
          </cell>
          <cell r="FE262">
            <v>0</v>
          </cell>
          <cell r="FF262">
            <v>4</v>
          </cell>
          <cell r="FG262">
            <v>3</v>
          </cell>
          <cell r="FH262">
            <v>0</v>
          </cell>
          <cell r="FI262">
            <v>3</v>
          </cell>
          <cell r="FJ262">
            <v>25</v>
          </cell>
          <cell r="FK262">
            <v>22</v>
          </cell>
          <cell r="FL262">
            <v>16</v>
          </cell>
          <cell r="FM262">
            <v>6</v>
          </cell>
          <cell r="FN262" t="str">
            <v>1</v>
          </cell>
          <cell r="FO262" t="str">
            <v>1</v>
          </cell>
          <cell r="FP262">
            <v>2</v>
          </cell>
          <cell r="FQ262" t="str">
            <v>21</v>
          </cell>
        </row>
        <row r="263">
          <cell r="F263" t="str">
            <v>박은관</v>
          </cell>
          <cell r="BG263">
            <v>3</v>
          </cell>
          <cell r="CA263">
            <v>3</v>
          </cell>
          <cell r="EM263">
            <v>3</v>
          </cell>
          <cell r="FD263">
            <v>6</v>
          </cell>
          <cell r="FE263">
            <v>0</v>
          </cell>
          <cell r="FF263">
            <v>4</v>
          </cell>
          <cell r="FH263">
            <v>3</v>
          </cell>
          <cell r="FI263">
            <v>3</v>
          </cell>
          <cell r="FJ263">
            <v>25</v>
          </cell>
          <cell r="FK263">
            <v>22</v>
          </cell>
          <cell r="FL263">
            <v>16</v>
          </cell>
          <cell r="FM263">
            <v>6</v>
          </cell>
          <cell r="FN263" t="str">
            <v>1</v>
          </cell>
          <cell r="FO263" t="str">
            <v>1</v>
          </cell>
          <cell r="FP263">
            <v>2</v>
          </cell>
          <cell r="FQ263" t="str">
            <v>21</v>
          </cell>
        </row>
        <row r="264">
          <cell r="F264" t="str">
            <v>이정호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 t="str">
            <v>(3일)</v>
          </cell>
          <cell r="BK264">
            <v>3</v>
          </cell>
          <cell r="BU264">
            <v>1</v>
          </cell>
          <cell r="BV264">
            <v>1</v>
          </cell>
          <cell r="BW264">
            <v>1</v>
          </cell>
          <cell r="BX264" t="str">
            <v>(2일)</v>
          </cell>
          <cell r="DW264">
            <v>3</v>
          </cell>
          <cell r="FD264">
            <v>9</v>
          </cell>
          <cell r="FE264">
            <v>0</v>
          </cell>
          <cell r="FF264">
            <v>3</v>
          </cell>
          <cell r="FG264">
            <v>5</v>
          </cell>
          <cell r="FH264">
            <v>0</v>
          </cell>
          <cell r="FI264">
            <v>5</v>
          </cell>
          <cell r="FJ264">
            <v>24</v>
          </cell>
          <cell r="FK264">
            <v>19</v>
          </cell>
          <cell r="FL264">
            <v>16</v>
          </cell>
          <cell r="FM264">
            <v>3</v>
          </cell>
          <cell r="FN264" t="str">
            <v>1</v>
          </cell>
          <cell r="FO264" t="str">
            <v>1</v>
          </cell>
          <cell r="FP264">
            <v>2</v>
          </cell>
          <cell r="FQ264" t="str">
            <v>21</v>
          </cell>
        </row>
        <row r="265">
          <cell r="F265" t="str">
            <v>황진환</v>
          </cell>
          <cell r="U265">
            <v>1</v>
          </cell>
          <cell r="V265">
            <v>1</v>
          </cell>
          <cell r="W265">
            <v>1</v>
          </cell>
          <cell r="X265">
            <v>1</v>
          </cell>
          <cell r="Y265">
            <v>1</v>
          </cell>
          <cell r="Z265">
            <v>1</v>
          </cell>
          <cell r="AA265" t="str">
            <v>(3일)</v>
          </cell>
          <cell r="CJ265">
            <v>1</v>
          </cell>
          <cell r="CK265">
            <v>1</v>
          </cell>
          <cell r="CL265">
            <v>1</v>
          </cell>
          <cell r="CM265" t="str">
            <v>(3일)</v>
          </cell>
          <cell r="DT265">
            <v>3</v>
          </cell>
          <cell r="DU265">
            <v>3</v>
          </cell>
          <cell r="FD265">
            <v>13</v>
          </cell>
          <cell r="FE265">
            <v>0</v>
          </cell>
          <cell r="FF265">
            <v>2</v>
          </cell>
          <cell r="FG265">
            <v>6</v>
          </cell>
          <cell r="FH265">
            <v>2</v>
          </cell>
          <cell r="FI265">
            <v>8</v>
          </cell>
          <cell r="FJ265">
            <v>25</v>
          </cell>
          <cell r="FK265">
            <v>17</v>
          </cell>
          <cell r="FL265">
            <v>16</v>
          </cell>
          <cell r="FM265">
            <v>1</v>
          </cell>
          <cell r="FN265" t="str">
            <v>1</v>
          </cell>
          <cell r="FO265" t="str">
            <v>1</v>
          </cell>
          <cell r="FP265">
            <v>2</v>
          </cell>
          <cell r="FQ265" t="str">
            <v>21</v>
          </cell>
        </row>
        <row r="266">
          <cell r="F266" t="str">
            <v>김형태</v>
          </cell>
          <cell r="U266">
            <v>1</v>
          </cell>
          <cell r="V266">
            <v>1</v>
          </cell>
          <cell r="W266">
            <v>1</v>
          </cell>
          <cell r="X266">
            <v>1</v>
          </cell>
          <cell r="Y266">
            <v>1</v>
          </cell>
          <cell r="Z266" t="str">
            <v>(4일)</v>
          </cell>
          <cell r="BU266">
            <v>1</v>
          </cell>
          <cell r="BV266">
            <v>1</v>
          </cell>
          <cell r="BW266" t="str">
            <v>(2일)</v>
          </cell>
          <cell r="FD266">
            <v>10</v>
          </cell>
          <cell r="FE266">
            <v>1</v>
          </cell>
          <cell r="FF266">
            <v>3</v>
          </cell>
          <cell r="FG266">
            <v>6</v>
          </cell>
          <cell r="FH266">
            <v>2</v>
          </cell>
          <cell r="FI266">
            <v>8</v>
          </cell>
          <cell r="FJ266">
            <v>24</v>
          </cell>
          <cell r="FK266">
            <v>16</v>
          </cell>
          <cell r="FL266">
            <v>16</v>
          </cell>
          <cell r="FM266">
            <v>0</v>
          </cell>
          <cell r="FN266" t="str">
            <v>0</v>
          </cell>
          <cell r="FO266" t="str">
            <v>0</v>
          </cell>
          <cell r="FP266">
            <v>0</v>
          </cell>
          <cell r="FQ266" t="str">
            <v>21</v>
          </cell>
        </row>
        <row r="267">
          <cell r="F267" t="str">
            <v>최요섭</v>
          </cell>
          <cell r="G267">
            <v>1</v>
          </cell>
          <cell r="H267">
            <v>1</v>
          </cell>
          <cell r="I267">
            <v>1</v>
          </cell>
          <cell r="J267">
            <v>1</v>
          </cell>
          <cell r="K267">
            <v>1</v>
          </cell>
          <cell r="L267">
            <v>1</v>
          </cell>
          <cell r="M267" t="str">
            <v>(5일)</v>
          </cell>
          <cell r="BG267">
            <v>2</v>
          </cell>
          <cell r="BH267">
            <v>2</v>
          </cell>
          <cell r="BI267">
            <v>2</v>
          </cell>
          <cell r="BU267">
            <v>1</v>
          </cell>
          <cell r="BV267">
            <v>1</v>
          </cell>
          <cell r="BW267">
            <v>1</v>
          </cell>
          <cell r="BX267" t="str">
            <v>(2일)</v>
          </cell>
          <cell r="EC267">
            <v>3</v>
          </cell>
          <cell r="ED267">
            <v>3</v>
          </cell>
          <cell r="FD267">
            <v>9</v>
          </cell>
          <cell r="FE267">
            <v>3</v>
          </cell>
          <cell r="FF267">
            <v>7</v>
          </cell>
          <cell r="FG267">
            <v>7</v>
          </cell>
          <cell r="FH267">
            <v>0</v>
          </cell>
          <cell r="FI267">
            <v>7</v>
          </cell>
          <cell r="FJ267">
            <v>25</v>
          </cell>
          <cell r="FK267">
            <v>18</v>
          </cell>
          <cell r="FL267">
            <v>16</v>
          </cell>
          <cell r="FM267">
            <v>2</v>
          </cell>
          <cell r="FN267" t="str">
            <v>1</v>
          </cell>
          <cell r="FO267" t="str">
            <v>0</v>
          </cell>
          <cell r="FP267">
            <v>1</v>
          </cell>
          <cell r="FQ267" t="str">
            <v>21</v>
          </cell>
        </row>
        <row r="268">
          <cell r="F268" t="str">
            <v>김기성</v>
          </cell>
          <cell r="CF268">
            <v>1</v>
          </cell>
          <cell r="CG268">
            <v>1</v>
          </cell>
          <cell r="CH268">
            <v>1</v>
          </cell>
          <cell r="CI268" t="str">
            <v>(3일)</v>
          </cell>
          <cell r="CO268">
            <v>3</v>
          </cell>
          <cell r="DS268">
            <v>3</v>
          </cell>
          <cell r="DT268">
            <v>3</v>
          </cell>
          <cell r="FD268">
            <v>7</v>
          </cell>
          <cell r="FE268">
            <v>0</v>
          </cell>
          <cell r="FF268">
            <v>3</v>
          </cell>
          <cell r="FG268">
            <v>3</v>
          </cell>
          <cell r="FH268">
            <v>3</v>
          </cell>
          <cell r="FI268">
            <v>6</v>
          </cell>
          <cell r="FJ268">
            <v>24</v>
          </cell>
          <cell r="FK268">
            <v>18</v>
          </cell>
          <cell r="FL268">
            <v>16</v>
          </cell>
          <cell r="FM268">
            <v>2</v>
          </cell>
          <cell r="FN268" t="str">
            <v>1</v>
          </cell>
          <cell r="FO268" t="str">
            <v>1</v>
          </cell>
          <cell r="FP268">
            <v>2</v>
          </cell>
          <cell r="FQ268" t="str">
            <v>21</v>
          </cell>
        </row>
        <row r="269">
          <cell r="F269" t="str">
            <v>이성중</v>
          </cell>
          <cell r="CI269">
            <v>1</v>
          </cell>
          <cell r="CJ269">
            <v>1</v>
          </cell>
          <cell r="CK269">
            <v>1</v>
          </cell>
          <cell r="CL269" t="str">
            <v>(2일)</v>
          </cell>
          <cell r="EF269">
            <v>3</v>
          </cell>
          <cell r="EG269">
            <v>3</v>
          </cell>
          <cell r="FD269">
            <v>9</v>
          </cell>
          <cell r="FE269">
            <v>0</v>
          </cell>
          <cell r="FF269">
            <v>2</v>
          </cell>
          <cell r="FG269">
            <v>2</v>
          </cell>
          <cell r="FH269">
            <v>5</v>
          </cell>
          <cell r="FI269">
            <v>7</v>
          </cell>
          <cell r="FJ269">
            <v>25</v>
          </cell>
          <cell r="FK269">
            <v>18</v>
          </cell>
          <cell r="FL269">
            <v>16</v>
          </cell>
          <cell r="FM269">
            <v>2</v>
          </cell>
          <cell r="FN269" t="str">
            <v>1</v>
          </cell>
          <cell r="FO269" t="str">
            <v>1</v>
          </cell>
          <cell r="FP269">
            <v>2</v>
          </cell>
          <cell r="FQ269" t="str">
            <v>21</v>
          </cell>
        </row>
        <row r="270">
          <cell r="F270" t="str">
            <v>김석순</v>
          </cell>
          <cell r="CM270">
            <v>1</v>
          </cell>
          <cell r="CN270">
            <v>1</v>
          </cell>
          <cell r="CO270">
            <v>1</v>
          </cell>
          <cell r="CP270" t="str">
            <v>(3일)</v>
          </cell>
          <cell r="EC270">
            <v>3</v>
          </cell>
          <cell r="ED270">
            <v>3</v>
          </cell>
          <cell r="FD270">
            <v>8</v>
          </cell>
          <cell r="FE270">
            <v>0</v>
          </cell>
          <cell r="FF270">
            <v>2</v>
          </cell>
          <cell r="FG270">
            <v>3</v>
          </cell>
          <cell r="FH270">
            <v>5</v>
          </cell>
          <cell r="FI270">
            <v>8</v>
          </cell>
          <cell r="FJ270">
            <v>24</v>
          </cell>
          <cell r="FK270">
            <v>16</v>
          </cell>
          <cell r="FL270">
            <v>16</v>
          </cell>
          <cell r="FM270">
            <v>0</v>
          </cell>
          <cell r="FN270" t="str">
            <v>0</v>
          </cell>
          <cell r="FO270" t="str">
            <v>1</v>
          </cell>
          <cell r="FP270">
            <v>1</v>
          </cell>
          <cell r="FQ270" t="str">
            <v>21</v>
          </cell>
        </row>
        <row r="271">
          <cell r="F271" t="str">
            <v>김경수</v>
          </cell>
          <cell r="BY271">
            <v>1</v>
          </cell>
          <cell r="BZ271">
            <v>1</v>
          </cell>
          <cell r="CA271">
            <v>1</v>
          </cell>
          <cell r="CB271" t="str">
            <v>(3일)</v>
          </cell>
          <cell r="EF271">
            <v>3</v>
          </cell>
          <cell r="EG271">
            <v>3</v>
          </cell>
          <cell r="FD271">
            <v>9</v>
          </cell>
          <cell r="FE271">
            <v>0</v>
          </cell>
          <cell r="FF271">
            <v>2</v>
          </cell>
          <cell r="FG271">
            <v>3</v>
          </cell>
          <cell r="FH271">
            <v>5</v>
          </cell>
          <cell r="FI271">
            <v>8</v>
          </cell>
          <cell r="FJ271">
            <v>25</v>
          </cell>
          <cell r="FK271">
            <v>17</v>
          </cell>
          <cell r="FL271">
            <v>16</v>
          </cell>
          <cell r="FM271">
            <v>1</v>
          </cell>
          <cell r="FN271" t="str">
            <v>1</v>
          </cell>
          <cell r="FO271" t="str">
            <v>1</v>
          </cell>
          <cell r="FP271">
            <v>2</v>
          </cell>
          <cell r="FQ271" t="str">
            <v>21</v>
          </cell>
        </row>
        <row r="272">
          <cell r="F272" t="str">
            <v>이은정</v>
          </cell>
          <cell r="AG272">
            <v>1</v>
          </cell>
          <cell r="AH272">
            <v>1</v>
          </cell>
          <cell r="AI272">
            <v>1</v>
          </cell>
          <cell r="AJ272">
            <v>1</v>
          </cell>
          <cell r="AK272">
            <v>1</v>
          </cell>
          <cell r="AL272" t="str">
            <v>(3일)</v>
          </cell>
          <cell r="DV272">
            <v>3</v>
          </cell>
          <cell r="DW272">
            <v>3</v>
          </cell>
          <cell r="EM272">
            <v>1</v>
          </cell>
          <cell r="EN272">
            <v>1</v>
          </cell>
          <cell r="EO272" t="str">
            <v>(2일)</v>
          </cell>
          <cell r="FD272">
            <v>12</v>
          </cell>
          <cell r="FE272">
            <v>0</v>
          </cell>
          <cell r="FF272">
            <v>2</v>
          </cell>
          <cell r="FG272">
            <v>5</v>
          </cell>
          <cell r="FH272">
            <v>5</v>
          </cell>
          <cell r="FI272">
            <v>10</v>
          </cell>
          <cell r="FJ272">
            <v>25</v>
          </cell>
          <cell r="FK272">
            <v>15</v>
          </cell>
          <cell r="FL272">
            <v>16</v>
          </cell>
          <cell r="FM272">
            <v>-1</v>
          </cell>
          <cell r="FN272" t="str">
            <v>0</v>
          </cell>
          <cell r="FO272" t="str">
            <v>1</v>
          </cell>
          <cell r="FP272">
            <v>1</v>
          </cell>
          <cell r="FQ272" t="str">
            <v>21</v>
          </cell>
        </row>
        <row r="273">
          <cell r="F273" t="str">
            <v>강석진</v>
          </cell>
          <cell r="G273">
            <v>1</v>
          </cell>
          <cell r="H273">
            <v>1</v>
          </cell>
          <cell r="I273">
            <v>1</v>
          </cell>
          <cell r="J273">
            <v>1</v>
          </cell>
          <cell r="K273" t="str">
            <v>(3일)</v>
          </cell>
          <cell r="EE273">
            <v>3</v>
          </cell>
          <cell r="EF273">
            <v>3</v>
          </cell>
          <cell r="FD273">
            <v>4</v>
          </cell>
          <cell r="FE273">
            <v>0</v>
          </cell>
          <cell r="FF273">
            <v>2</v>
          </cell>
          <cell r="FG273">
            <v>3</v>
          </cell>
          <cell r="FH273">
            <v>0</v>
          </cell>
          <cell r="FI273">
            <v>3</v>
          </cell>
          <cell r="FJ273">
            <v>25</v>
          </cell>
          <cell r="FK273">
            <v>22</v>
          </cell>
          <cell r="FL273">
            <v>16</v>
          </cell>
          <cell r="FM273">
            <v>6</v>
          </cell>
          <cell r="FN273" t="str">
            <v>1</v>
          </cell>
          <cell r="FO273" t="str">
            <v>1</v>
          </cell>
          <cell r="FP273">
            <v>2</v>
          </cell>
          <cell r="FQ273" t="str">
            <v>21</v>
          </cell>
        </row>
        <row r="274">
          <cell r="F274" t="str">
            <v>박문수</v>
          </cell>
          <cell r="AZ274">
            <v>1</v>
          </cell>
          <cell r="BA274" t="str">
            <v>(1일)</v>
          </cell>
          <cell r="BY274">
            <v>1</v>
          </cell>
          <cell r="BZ274">
            <v>1</v>
          </cell>
          <cell r="CA274">
            <v>1</v>
          </cell>
          <cell r="CB274" t="str">
            <v>(3일)</v>
          </cell>
          <cell r="DV274">
            <v>3</v>
          </cell>
          <cell r="DW274">
            <v>3</v>
          </cell>
          <cell r="FD274">
            <v>8</v>
          </cell>
          <cell r="FE274">
            <v>6</v>
          </cell>
          <cell r="FF274">
            <v>2</v>
          </cell>
          <cell r="FG274">
            <v>4</v>
          </cell>
          <cell r="FH274">
            <v>2.5</v>
          </cell>
          <cell r="FI274">
            <v>6.5</v>
          </cell>
          <cell r="FJ274">
            <v>25</v>
          </cell>
          <cell r="FK274">
            <v>18.5</v>
          </cell>
          <cell r="FL274">
            <v>16</v>
          </cell>
          <cell r="FM274">
            <v>2.5</v>
          </cell>
          <cell r="FN274" t="str">
            <v>1</v>
          </cell>
          <cell r="FO274" t="str">
            <v>0</v>
          </cell>
          <cell r="FP274">
            <v>1</v>
          </cell>
          <cell r="FQ274" t="str">
            <v>21</v>
          </cell>
        </row>
        <row r="275">
          <cell r="F275" t="str">
            <v>김진호</v>
          </cell>
          <cell r="EC275">
            <v>3</v>
          </cell>
          <cell r="ED275">
            <v>3</v>
          </cell>
          <cell r="FD275">
            <v>5</v>
          </cell>
          <cell r="FE275">
            <v>0</v>
          </cell>
          <cell r="FF275">
            <v>2</v>
          </cell>
          <cell r="FH275">
            <v>4</v>
          </cell>
          <cell r="FI275">
            <v>4</v>
          </cell>
          <cell r="FJ275">
            <v>25</v>
          </cell>
          <cell r="FK275">
            <v>21</v>
          </cell>
          <cell r="FL275">
            <v>16</v>
          </cell>
          <cell r="FM275">
            <v>5</v>
          </cell>
          <cell r="FN275" t="str">
            <v>1</v>
          </cell>
          <cell r="FO275" t="str">
            <v>1</v>
          </cell>
          <cell r="FP275">
            <v>2</v>
          </cell>
          <cell r="FQ275" t="str">
            <v>21</v>
          </cell>
        </row>
        <row r="276">
          <cell r="F276" t="str">
            <v>황경환</v>
          </cell>
          <cell r="G276">
            <v>1</v>
          </cell>
          <cell r="H276">
            <v>1</v>
          </cell>
          <cell r="I276">
            <v>1</v>
          </cell>
          <cell r="J276">
            <v>1</v>
          </cell>
          <cell r="K276">
            <v>1</v>
          </cell>
          <cell r="L276">
            <v>1</v>
          </cell>
          <cell r="M276" t="str">
            <v>(5일)</v>
          </cell>
          <cell r="DR276">
            <v>2</v>
          </cell>
          <cell r="DS276">
            <v>3</v>
          </cell>
          <cell r="DT276">
            <v>3</v>
          </cell>
          <cell r="FD276">
            <v>6</v>
          </cell>
          <cell r="FE276">
            <v>1</v>
          </cell>
          <cell r="FF276">
            <v>2</v>
          </cell>
          <cell r="FG276">
            <v>5</v>
          </cell>
          <cell r="FH276">
            <v>0</v>
          </cell>
          <cell r="FI276">
            <v>5</v>
          </cell>
          <cell r="FJ276">
            <v>25</v>
          </cell>
          <cell r="FK276">
            <v>20</v>
          </cell>
          <cell r="FL276">
            <v>16</v>
          </cell>
          <cell r="FM276">
            <v>4</v>
          </cell>
          <cell r="FN276" t="str">
            <v>1</v>
          </cell>
          <cell r="FO276" t="str">
            <v>0</v>
          </cell>
          <cell r="FP276">
            <v>1</v>
          </cell>
          <cell r="FQ276" t="str">
            <v>21</v>
          </cell>
        </row>
        <row r="277">
          <cell r="F277" t="str">
            <v>박종남</v>
          </cell>
          <cell r="G277">
            <v>1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 t="str">
            <v>(4일)</v>
          </cell>
          <cell r="DO277">
            <v>3</v>
          </cell>
          <cell r="DP277">
            <v>3</v>
          </cell>
          <cell r="FD277">
            <v>6</v>
          </cell>
          <cell r="FE277">
            <v>0</v>
          </cell>
          <cell r="FF277">
            <v>2</v>
          </cell>
          <cell r="FG277">
            <v>4</v>
          </cell>
          <cell r="FH277">
            <v>0</v>
          </cell>
          <cell r="FI277">
            <v>4</v>
          </cell>
          <cell r="FJ277">
            <v>25</v>
          </cell>
          <cell r="FK277">
            <v>21</v>
          </cell>
          <cell r="FL277">
            <v>16</v>
          </cell>
          <cell r="FM277">
            <v>5</v>
          </cell>
          <cell r="FN277" t="str">
            <v>1</v>
          </cell>
          <cell r="FO277" t="str">
            <v>1</v>
          </cell>
          <cell r="FP277">
            <v>2</v>
          </cell>
          <cell r="FQ277" t="str">
            <v>21</v>
          </cell>
        </row>
        <row r="278">
          <cell r="F278" t="str">
            <v>김승호</v>
          </cell>
          <cell r="G278">
            <v>1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 t="str">
            <v>(5일)</v>
          </cell>
          <cell r="EG278">
            <v>3</v>
          </cell>
          <cell r="EH278">
            <v>3</v>
          </cell>
          <cell r="FD278">
            <v>6</v>
          </cell>
          <cell r="FE278">
            <v>0</v>
          </cell>
          <cell r="FF278">
            <v>2</v>
          </cell>
          <cell r="FG278">
            <v>5</v>
          </cell>
          <cell r="FH278">
            <v>0</v>
          </cell>
          <cell r="FI278">
            <v>5</v>
          </cell>
          <cell r="FJ278">
            <v>25</v>
          </cell>
          <cell r="FK278">
            <v>20</v>
          </cell>
          <cell r="FL278">
            <v>16</v>
          </cell>
          <cell r="FM278">
            <v>4</v>
          </cell>
          <cell r="FN278" t="str">
            <v>1</v>
          </cell>
          <cell r="FO278" t="str">
            <v>1</v>
          </cell>
          <cell r="FP278">
            <v>2</v>
          </cell>
          <cell r="FQ278" t="str">
            <v>21</v>
          </cell>
        </row>
        <row r="279">
          <cell r="F279" t="str">
            <v>문상석</v>
          </cell>
          <cell r="G279">
            <v>1</v>
          </cell>
          <cell r="H279">
            <v>1</v>
          </cell>
          <cell r="I279">
            <v>1</v>
          </cell>
          <cell r="J279" t="str">
            <v>(3일)</v>
          </cell>
          <cell r="CO279">
            <v>3</v>
          </cell>
          <cell r="CP279">
            <v>3</v>
          </cell>
          <cell r="CQ279">
            <v>3</v>
          </cell>
          <cell r="CR279">
            <v>3</v>
          </cell>
          <cell r="CS279">
            <v>3</v>
          </cell>
          <cell r="CT279">
            <v>3</v>
          </cell>
          <cell r="CU279">
            <v>3</v>
          </cell>
          <cell r="FD279">
            <v>3</v>
          </cell>
          <cell r="FE279">
            <v>1</v>
          </cell>
          <cell r="FF279">
            <v>7</v>
          </cell>
          <cell r="FG279">
            <v>3</v>
          </cell>
          <cell r="FH279">
            <v>0</v>
          </cell>
          <cell r="FI279">
            <v>3</v>
          </cell>
          <cell r="FJ279">
            <v>24</v>
          </cell>
          <cell r="FK279">
            <v>21</v>
          </cell>
          <cell r="FL279">
            <v>16</v>
          </cell>
          <cell r="FM279">
            <v>5</v>
          </cell>
          <cell r="FN279" t="str">
            <v>1</v>
          </cell>
          <cell r="FO279" t="str">
            <v>0</v>
          </cell>
          <cell r="FP279">
            <v>1</v>
          </cell>
          <cell r="FQ279" t="str">
            <v>21</v>
          </cell>
        </row>
        <row r="280">
          <cell r="F280" t="str">
            <v>김형일</v>
          </cell>
          <cell r="G280">
            <v>1</v>
          </cell>
          <cell r="H280">
            <v>1</v>
          </cell>
          <cell r="I280">
            <v>1</v>
          </cell>
          <cell r="J280">
            <v>1</v>
          </cell>
          <cell r="K280">
            <v>1</v>
          </cell>
          <cell r="L280">
            <v>1</v>
          </cell>
          <cell r="M280" t="str">
            <v>(3일)</v>
          </cell>
          <cell r="CJ280">
            <v>1</v>
          </cell>
          <cell r="CK280" t="str">
            <v>(1일)</v>
          </cell>
          <cell r="EC280">
            <v>3</v>
          </cell>
          <cell r="ED280">
            <v>3</v>
          </cell>
          <cell r="FD280">
            <v>7</v>
          </cell>
          <cell r="FE280">
            <v>0</v>
          </cell>
          <cell r="FF280">
            <v>2</v>
          </cell>
          <cell r="FG280">
            <v>4</v>
          </cell>
          <cell r="FH280">
            <v>0</v>
          </cell>
          <cell r="FI280">
            <v>4</v>
          </cell>
          <cell r="FJ280">
            <v>25</v>
          </cell>
          <cell r="FK280">
            <v>21</v>
          </cell>
          <cell r="FL280">
            <v>16</v>
          </cell>
          <cell r="FM280">
            <v>5</v>
          </cell>
          <cell r="FN280" t="str">
            <v>1</v>
          </cell>
          <cell r="FO280" t="str">
            <v>1</v>
          </cell>
          <cell r="FP280">
            <v>2</v>
          </cell>
          <cell r="FQ280" t="str">
            <v>21</v>
          </cell>
        </row>
        <row r="281">
          <cell r="F281" t="str">
            <v>권순홍</v>
          </cell>
          <cell r="G281">
            <v>1</v>
          </cell>
          <cell r="H281">
            <v>1</v>
          </cell>
          <cell r="I281">
            <v>1</v>
          </cell>
          <cell r="J281">
            <v>1</v>
          </cell>
          <cell r="K281">
            <v>1</v>
          </cell>
          <cell r="L281">
            <v>1</v>
          </cell>
          <cell r="M281" t="str">
            <v>(3일)</v>
          </cell>
          <cell r="AU281">
            <v>1</v>
          </cell>
          <cell r="AV281" t="str">
            <v>(1일)</v>
          </cell>
          <cell r="EG281">
            <v>3</v>
          </cell>
          <cell r="EH281">
            <v>3</v>
          </cell>
          <cell r="FD281">
            <v>11</v>
          </cell>
          <cell r="FE281">
            <v>0</v>
          </cell>
          <cell r="FF281">
            <v>2</v>
          </cell>
          <cell r="FG281">
            <v>4</v>
          </cell>
          <cell r="FH281">
            <v>3</v>
          </cell>
          <cell r="FI281">
            <v>7</v>
          </cell>
          <cell r="FJ281">
            <v>23</v>
          </cell>
          <cell r="FK281">
            <v>16</v>
          </cell>
          <cell r="FL281">
            <v>16</v>
          </cell>
          <cell r="FM281">
            <v>0</v>
          </cell>
          <cell r="FN281" t="str">
            <v>0</v>
          </cell>
          <cell r="FO281" t="str">
            <v>1</v>
          </cell>
          <cell r="FP281">
            <v>1</v>
          </cell>
          <cell r="FQ281" t="str">
            <v>21</v>
          </cell>
        </row>
        <row r="282">
          <cell r="F282" t="str">
            <v>정정남</v>
          </cell>
          <cell r="G282">
            <v>1</v>
          </cell>
          <cell r="H282">
            <v>1</v>
          </cell>
          <cell r="I282">
            <v>1</v>
          </cell>
          <cell r="J282">
            <v>1</v>
          </cell>
          <cell r="K282">
            <v>1</v>
          </cell>
          <cell r="L282">
            <v>1</v>
          </cell>
          <cell r="M282" t="str">
            <v>(3일)</v>
          </cell>
          <cell r="BD282">
            <v>1</v>
          </cell>
          <cell r="BE282" t="str">
            <v>(1일)</v>
          </cell>
          <cell r="EK282">
            <v>1</v>
          </cell>
          <cell r="EL282" t="str">
            <v>(1일)</v>
          </cell>
          <cell r="FD282">
            <v>8</v>
          </cell>
          <cell r="FE282">
            <v>0</v>
          </cell>
          <cell r="FF282">
            <v>0</v>
          </cell>
          <cell r="FG282">
            <v>5</v>
          </cell>
          <cell r="FH282">
            <v>0</v>
          </cell>
          <cell r="FI282">
            <v>5</v>
          </cell>
          <cell r="FJ282">
            <v>25</v>
          </cell>
          <cell r="FK282">
            <v>20</v>
          </cell>
          <cell r="FL282">
            <v>16</v>
          </cell>
          <cell r="FM282">
            <v>4</v>
          </cell>
          <cell r="FN282" t="str">
            <v>1</v>
          </cell>
          <cell r="FO282" t="str">
            <v>1</v>
          </cell>
          <cell r="FP282">
            <v>2</v>
          </cell>
          <cell r="FQ282" t="str">
            <v>21</v>
          </cell>
        </row>
        <row r="283">
          <cell r="F283" t="str">
            <v>장광훈</v>
          </cell>
          <cell r="G283">
            <v>1</v>
          </cell>
          <cell r="H283">
            <v>1</v>
          </cell>
          <cell r="I283">
            <v>1</v>
          </cell>
          <cell r="J283">
            <v>1</v>
          </cell>
          <cell r="K283">
            <v>1</v>
          </cell>
          <cell r="L283">
            <v>1</v>
          </cell>
          <cell r="M283" t="str">
            <v>(5일)</v>
          </cell>
          <cell r="DX283">
            <v>3</v>
          </cell>
          <cell r="DY283">
            <v>3</v>
          </cell>
          <cell r="FD283">
            <v>7</v>
          </cell>
          <cell r="FE283">
            <v>0</v>
          </cell>
          <cell r="FF283">
            <v>2</v>
          </cell>
          <cell r="FG283">
            <v>5</v>
          </cell>
          <cell r="FH283">
            <v>1</v>
          </cell>
          <cell r="FI283">
            <v>6</v>
          </cell>
          <cell r="FJ283">
            <v>24</v>
          </cell>
          <cell r="FK283">
            <v>18</v>
          </cell>
          <cell r="FL283">
            <v>16</v>
          </cell>
          <cell r="FM283">
            <v>2</v>
          </cell>
          <cell r="FN283" t="str">
            <v>1</v>
          </cell>
          <cell r="FO283" t="str">
            <v>1</v>
          </cell>
          <cell r="FP283">
            <v>2</v>
          </cell>
          <cell r="FQ283" t="str">
            <v>21</v>
          </cell>
        </row>
        <row r="284">
          <cell r="F284" t="str">
            <v>한종철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 t="str">
            <v>(5일)</v>
          </cell>
          <cell r="CW284">
            <v>1</v>
          </cell>
          <cell r="CX284">
            <v>1</v>
          </cell>
          <cell r="CY284" t="str">
            <v>(2일)</v>
          </cell>
          <cell r="DX284">
            <v>3</v>
          </cell>
          <cell r="DY284">
            <v>3</v>
          </cell>
          <cell r="EJ284">
            <v>1</v>
          </cell>
          <cell r="EK284">
            <v>1</v>
          </cell>
          <cell r="EL284" t="str">
            <v>(2일)</v>
          </cell>
          <cell r="FD284">
            <v>9</v>
          </cell>
          <cell r="FE284">
            <v>0</v>
          </cell>
          <cell r="FF284">
            <v>2</v>
          </cell>
          <cell r="FG284">
            <v>9</v>
          </cell>
          <cell r="FH284">
            <v>0</v>
          </cell>
          <cell r="FI284">
            <v>9</v>
          </cell>
          <cell r="FJ284">
            <v>25</v>
          </cell>
          <cell r="FK284">
            <v>16</v>
          </cell>
          <cell r="FL284">
            <v>16</v>
          </cell>
          <cell r="FM284">
            <v>0</v>
          </cell>
          <cell r="FN284" t="str">
            <v>0</v>
          </cell>
          <cell r="FO284" t="str">
            <v>1</v>
          </cell>
          <cell r="FP284">
            <v>1</v>
          </cell>
          <cell r="FQ284" t="str">
            <v>21</v>
          </cell>
        </row>
        <row r="285">
          <cell r="F285" t="str">
            <v>김창수</v>
          </cell>
          <cell r="N285">
            <v>1</v>
          </cell>
          <cell r="O285">
            <v>1</v>
          </cell>
          <cell r="P285">
            <v>1</v>
          </cell>
          <cell r="Q285">
            <v>1</v>
          </cell>
          <cell r="R285">
            <v>1</v>
          </cell>
          <cell r="S285">
            <v>1</v>
          </cell>
          <cell r="T285" t="str">
            <v>(5일)</v>
          </cell>
          <cell r="DV285">
            <v>3</v>
          </cell>
          <cell r="DW285">
            <v>3</v>
          </cell>
          <cell r="EG285">
            <v>3</v>
          </cell>
          <cell r="EH285">
            <v>3</v>
          </cell>
          <cell r="EX285">
            <v>2</v>
          </cell>
          <cell r="EY285">
            <v>2</v>
          </cell>
          <cell r="FD285">
            <v>9</v>
          </cell>
          <cell r="FE285">
            <v>2</v>
          </cell>
          <cell r="FF285">
            <v>4</v>
          </cell>
          <cell r="FG285">
            <v>5</v>
          </cell>
          <cell r="FH285">
            <v>2</v>
          </cell>
          <cell r="FI285">
            <v>7</v>
          </cell>
          <cell r="FJ285">
            <v>25</v>
          </cell>
          <cell r="FK285">
            <v>18</v>
          </cell>
          <cell r="FL285">
            <v>16</v>
          </cell>
          <cell r="FM285">
            <v>2</v>
          </cell>
          <cell r="FN285" t="str">
            <v>1</v>
          </cell>
          <cell r="FO285" t="str">
            <v>0</v>
          </cell>
          <cell r="FP285">
            <v>1</v>
          </cell>
          <cell r="FQ285" t="str">
            <v>21</v>
          </cell>
        </row>
        <row r="286">
          <cell r="F286" t="str">
            <v>어국담</v>
          </cell>
          <cell r="I286">
            <v>1</v>
          </cell>
          <cell r="J286" t="str">
            <v>(1일)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1</v>
          </cell>
          <cell r="U286" t="str">
            <v>(4일)</v>
          </cell>
          <cell r="CM286">
            <v>1</v>
          </cell>
          <cell r="CN286">
            <v>1</v>
          </cell>
          <cell r="CO286">
            <v>1</v>
          </cell>
          <cell r="CP286" t="str">
            <v>(3일)</v>
          </cell>
          <cell r="CQ286">
            <v>2</v>
          </cell>
          <cell r="CR286">
            <v>2</v>
          </cell>
          <cell r="CS286">
            <v>2</v>
          </cell>
          <cell r="EG286">
            <v>3</v>
          </cell>
          <cell r="EH286">
            <v>3</v>
          </cell>
          <cell r="FD286">
            <v>11</v>
          </cell>
          <cell r="FE286">
            <v>42</v>
          </cell>
          <cell r="FF286">
            <v>5</v>
          </cell>
          <cell r="FG286">
            <v>8</v>
          </cell>
          <cell r="FH286">
            <v>1</v>
          </cell>
          <cell r="FI286">
            <v>9</v>
          </cell>
          <cell r="FJ286">
            <v>23</v>
          </cell>
          <cell r="FK286">
            <v>14</v>
          </cell>
          <cell r="FL286">
            <v>16</v>
          </cell>
          <cell r="FM286">
            <v>-2</v>
          </cell>
          <cell r="FN286" t="str">
            <v>0</v>
          </cell>
          <cell r="FO286" t="str">
            <v>0</v>
          </cell>
          <cell r="FP286">
            <v>0</v>
          </cell>
          <cell r="FQ286" t="str">
            <v>21</v>
          </cell>
        </row>
        <row r="287">
          <cell r="F287" t="str">
            <v>김경섭</v>
          </cell>
          <cell r="BY287">
            <v>1</v>
          </cell>
          <cell r="BZ287">
            <v>1</v>
          </cell>
          <cell r="CA287">
            <v>1</v>
          </cell>
          <cell r="CB287" t="str">
            <v>(3일)</v>
          </cell>
          <cell r="CU287">
            <v>4</v>
          </cell>
          <cell r="CV287">
            <v>4</v>
          </cell>
          <cell r="CW287">
            <v>4</v>
          </cell>
          <cell r="CX287">
            <v>4</v>
          </cell>
          <cell r="FD287">
            <v>3</v>
          </cell>
          <cell r="FE287">
            <v>0</v>
          </cell>
          <cell r="FF287">
            <v>0</v>
          </cell>
          <cell r="FG287">
            <v>3</v>
          </cell>
          <cell r="FH287">
            <v>0</v>
          </cell>
          <cell r="FI287">
            <v>3</v>
          </cell>
          <cell r="FJ287">
            <v>25</v>
          </cell>
          <cell r="FK287">
            <v>22</v>
          </cell>
          <cell r="FL287">
            <v>16</v>
          </cell>
          <cell r="FM287">
            <v>6</v>
          </cell>
          <cell r="FN287" t="str">
            <v>1</v>
          </cell>
          <cell r="FO287" t="str">
            <v>1</v>
          </cell>
          <cell r="FP287">
            <v>2</v>
          </cell>
          <cell r="FQ287" t="str">
            <v>21</v>
          </cell>
        </row>
        <row r="288">
          <cell r="F288" t="str">
            <v>박기용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 t="str">
            <v>(4일)</v>
          </cell>
          <cell r="FD288">
            <v>6</v>
          </cell>
          <cell r="FE288">
            <v>0</v>
          </cell>
          <cell r="FF288">
            <v>0</v>
          </cell>
          <cell r="FG288">
            <v>4</v>
          </cell>
          <cell r="FH288">
            <v>0</v>
          </cell>
          <cell r="FI288">
            <v>4</v>
          </cell>
          <cell r="FJ288">
            <v>25</v>
          </cell>
          <cell r="FK288">
            <v>21</v>
          </cell>
          <cell r="FL288">
            <v>16</v>
          </cell>
          <cell r="FM288">
            <v>5</v>
          </cell>
          <cell r="FN288" t="str">
            <v>1</v>
          </cell>
          <cell r="FO288" t="str">
            <v>1</v>
          </cell>
          <cell r="FP288">
            <v>2</v>
          </cell>
          <cell r="FQ288" t="str">
            <v>21</v>
          </cell>
        </row>
        <row r="289">
          <cell r="F289" t="str">
            <v>박현배</v>
          </cell>
          <cell r="U289">
            <v>1</v>
          </cell>
          <cell r="V289">
            <v>1</v>
          </cell>
          <cell r="W289">
            <v>1</v>
          </cell>
          <cell r="X289" t="str">
            <v>(2일)</v>
          </cell>
          <cell r="DX289">
            <v>3</v>
          </cell>
          <cell r="DY289">
            <v>3</v>
          </cell>
          <cell r="FD289">
            <v>3</v>
          </cell>
          <cell r="FE289">
            <v>0</v>
          </cell>
          <cell r="FF289">
            <v>2</v>
          </cell>
          <cell r="FG289">
            <v>2</v>
          </cell>
          <cell r="FH289">
            <v>0</v>
          </cell>
          <cell r="FI289">
            <v>2</v>
          </cell>
          <cell r="FJ289">
            <v>25</v>
          </cell>
          <cell r="FK289">
            <v>23</v>
          </cell>
          <cell r="FL289">
            <v>16</v>
          </cell>
          <cell r="FM289">
            <v>7</v>
          </cell>
          <cell r="FN289" t="str">
            <v>1</v>
          </cell>
          <cell r="FO289" t="str">
            <v>1</v>
          </cell>
          <cell r="FP289">
            <v>2</v>
          </cell>
          <cell r="FQ289" t="str">
            <v>21</v>
          </cell>
        </row>
        <row r="290">
          <cell r="F290" t="str">
            <v>박승균</v>
          </cell>
          <cell r="U290">
            <v>1</v>
          </cell>
          <cell r="V290">
            <v>1</v>
          </cell>
          <cell r="W290">
            <v>1</v>
          </cell>
          <cell r="X290" t="str">
            <v>(2일)</v>
          </cell>
          <cell r="CD290">
            <v>1</v>
          </cell>
          <cell r="CE290">
            <v>1</v>
          </cell>
          <cell r="CF290" t="str">
            <v>(1일)</v>
          </cell>
          <cell r="DO290">
            <v>3</v>
          </cell>
          <cell r="DP290">
            <v>3</v>
          </cell>
          <cell r="FD290">
            <v>12</v>
          </cell>
          <cell r="FE290">
            <v>0</v>
          </cell>
          <cell r="FF290">
            <v>2</v>
          </cell>
          <cell r="FG290">
            <v>3</v>
          </cell>
          <cell r="FH290">
            <v>6</v>
          </cell>
          <cell r="FI290">
            <v>9</v>
          </cell>
          <cell r="FJ290">
            <v>24</v>
          </cell>
          <cell r="FK290">
            <v>15</v>
          </cell>
          <cell r="FL290">
            <v>16</v>
          </cell>
          <cell r="FM290">
            <v>-1</v>
          </cell>
          <cell r="FN290" t="str">
            <v>0</v>
          </cell>
          <cell r="FO290" t="str">
            <v>1</v>
          </cell>
          <cell r="FP290">
            <v>1</v>
          </cell>
          <cell r="FQ290" t="str">
            <v>21</v>
          </cell>
        </row>
        <row r="291">
          <cell r="F291" t="str">
            <v>이세재</v>
          </cell>
          <cell r="N291">
            <v>1</v>
          </cell>
          <cell r="O291">
            <v>1</v>
          </cell>
          <cell r="P291">
            <v>1</v>
          </cell>
          <cell r="Q291">
            <v>1</v>
          </cell>
          <cell r="R291">
            <v>1</v>
          </cell>
          <cell r="S291">
            <v>1</v>
          </cell>
          <cell r="T291" t="str">
            <v>(5일)</v>
          </cell>
          <cell r="CW291">
            <v>1</v>
          </cell>
          <cell r="CX291">
            <v>1</v>
          </cell>
          <cell r="CY291">
            <v>1</v>
          </cell>
          <cell r="CZ291" t="str">
            <v>(2일)</v>
          </cell>
          <cell r="EC291">
            <v>3</v>
          </cell>
          <cell r="ED291">
            <v>3</v>
          </cell>
          <cell r="FD291">
            <v>9</v>
          </cell>
          <cell r="FE291">
            <v>0</v>
          </cell>
          <cell r="FF291">
            <v>2</v>
          </cell>
          <cell r="FG291">
            <v>7</v>
          </cell>
          <cell r="FH291">
            <v>0</v>
          </cell>
          <cell r="FI291">
            <v>7</v>
          </cell>
          <cell r="FJ291">
            <v>24</v>
          </cell>
          <cell r="FK291">
            <v>17</v>
          </cell>
          <cell r="FL291">
            <v>16</v>
          </cell>
          <cell r="FM291">
            <v>1</v>
          </cell>
          <cell r="FN291" t="str">
            <v>1</v>
          </cell>
          <cell r="FO291" t="str">
            <v>1</v>
          </cell>
          <cell r="FP291">
            <v>2</v>
          </cell>
          <cell r="FQ291" t="str">
            <v>21</v>
          </cell>
        </row>
        <row r="292">
          <cell r="F292" t="str">
            <v>권미예</v>
          </cell>
          <cell r="U292">
            <v>1</v>
          </cell>
          <cell r="V292">
            <v>1</v>
          </cell>
          <cell r="W292">
            <v>1</v>
          </cell>
          <cell r="X292">
            <v>1</v>
          </cell>
          <cell r="Y292">
            <v>1</v>
          </cell>
          <cell r="Z292">
            <v>1</v>
          </cell>
          <cell r="AA292" t="str">
            <v>(4일)</v>
          </cell>
          <cell r="CM292">
            <v>1</v>
          </cell>
          <cell r="CN292">
            <v>1</v>
          </cell>
          <cell r="CO292">
            <v>1</v>
          </cell>
          <cell r="CP292" t="str">
            <v>(3일)</v>
          </cell>
          <cell r="DV292">
            <v>3</v>
          </cell>
          <cell r="DW292">
            <v>3</v>
          </cell>
          <cell r="EQ292">
            <v>1</v>
          </cell>
          <cell r="ER292">
            <v>1</v>
          </cell>
          <cell r="ES292">
            <v>1</v>
          </cell>
          <cell r="ET292" t="str">
            <v>(3일)</v>
          </cell>
          <cell r="FD292">
            <v>12</v>
          </cell>
          <cell r="FE292">
            <v>0</v>
          </cell>
          <cell r="FF292">
            <v>2</v>
          </cell>
          <cell r="FG292">
            <v>10</v>
          </cell>
          <cell r="FH292">
            <v>0</v>
          </cell>
          <cell r="FI292">
            <v>10</v>
          </cell>
          <cell r="FJ292">
            <v>24</v>
          </cell>
          <cell r="FK292">
            <v>14</v>
          </cell>
          <cell r="FL292">
            <v>16</v>
          </cell>
          <cell r="FM292">
            <v>-2</v>
          </cell>
          <cell r="FN292" t="str">
            <v>0</v>
          </cell>
          <cell r="FO292" t="str">
            <v>1</v>
          </cell>
          <cell r="FP292">
            <v>1</v>
          </cell>
          <cell r="FQ292" t="str">
            <v>21</v>
          </cell>
        </row>
        <row r="293">
          <cell r="F293" t="str">
            <v>김청수</v>
          </cell>
          <cell r="U293">
            <v>1</v>
          </cell>
          <cell r="V293">
            <v>1</v>
          </cell>
          <cell r="W293">
            <v>1</v>
          </cell>
          <cell r="X293">
            <v>1</v>
          </cell>
          <cell r="Y293">
            <v>1</v>
          </cell>
          <cell r="Z293">
            <v>1</v>
          </cell>
          <cell r="AA293" t="str">
            <v>(4일)</v>
          </cell>
          <cell r="BH293">
            <v>2</v>
          </cell>
          <cell r="BK293">
            <v>2</v>
          </cell>
          <cell r="BL293">
            <v>2</v>
          </cell>
          <cell r="BY293">
            <v>1</v>
          </cell>
          <cell r="BZ293">
            <v>1</v>
          </cell>
          <cell r="CA293">
            <v>1</v>
          </cell>
          <cell r="CB293" t="str">
            <v>(3일)</v>
          </cell>
          <cell r="FD293">
            <v>12</v>
          </cell>
          <cell r="FE293">
            <v>3</v>
          </cell>
          <cell r="FF293">
            <v>0</v>
          </cell>
          <cell r="FG293">
            <v>7</v>
          </cell>
          <cell r="FH293">
            <v>3</v>
          </cell>
          <cell r="FI293">
            <v>10</v>
          </cell>
          <cell r="FJ293">
            <v>16</v>
          </cell>
          <cell r="FK293">
            <v>6</v>
          </cell>
          <cell r="FL293">
            <v>16</v>
          </cell>
          <cell r="FM293">
            <v>-10</v>
          </cell>
          <cell r="FN293" t="str">
            <v>0</v>
          </cell>
          <cell r="FO293" t="str">
            <v>0</v>
          </cell>
          <cell r="FP293">
            <v>0</v>
          </cell>
          <cell r="FQ293">
            <v>16</v>
          </cell>
        </row>
        <row r="294">
          <cell r="F294" t="str">
            <v>고명관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 t="str">
            <v>(4일)</v>
          </cell>
          <cell r="FD294">
            <v>5</v>
          </cell>
          <cell r="FE294">
            <v>0</v>
          </cell>
          <cell r="FF294">
            <v>0</v>
          </cell>
          <cell r="FG294">
            <v>4</v>
          </cell>
          <cell r="FH294">
            <v>0</v>
          </cell>
          <cell r="FI294">
            <v>4</v>
          </cell>
          <cell r="FJ294">
            <v>25</v>
          </cell>
          <cell r="FK294">
            <v>21</v>
          </cell>
          <cell r="FL294">
            <v>16</v>
          </cell>
          <cell r="FM294">
            <v>5</v>
          </cell>
          <cell r="FN294" t="str">
            <v>1</v>
          </cell>
          <cell r="FO294" t="str">
            <v>1</v>
          </cell>
          <cell r="FP294">
            <v>2</v>
          </cell>
          <cell r="FQ294" t="str">
            <v>21</v>
          </cell>
        </row>
        <row r="295">
          <cell r="F295" t="str">
            <v>최지연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 t="str">
            <v>(3일)</v>
          </cell>
          <cell r="FD295">
            <v>6</v>
          </cell>
          <cell r="FE295">
            <v>0</v>
          </cell>
          <cell r="FF295">
            <v>0</v>
          </cell>
          <cell r="FG295">
            <v>3</v>
          </cell>
          <cell r="FH295">
            <v>2</v>
          </cell>
          <cell r="FI295">
            <v>5</v>
          </cell>
          <cell r="FJ295">
            <v>23</v>
          </cell>
          <cell r="FK295">
            <v>18</v>
          </cell>
          <cell r="FL295">
            <v>16</v>
          </cell>
          <cell r="FM295">
            <v>2</v>
          </cell>
          <cell r="FN295" t="str">
            <v>1</v>
          </cell>
          <cell r="FO295" t="str">
            <v>1</v>
          </cell>
          <cell r="FP295">
            <v>2</v>
          </cell>
          <cell r="FQ295" t="str">
            <v>21</v>
          </cell>
        </row>
        <row r="296">
          <cell r="F296" t="str">
            <v>이해웅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 t="str">
            <v>(3일)</v>
          </cell>
          <cell r="FD296">
            <v>4</v>
          </cell>
          <cell r="FE296">
            <v>0</v>
          </cell>
          <cell r="FF296">
            <v>0</v>
          </cell>
          <cell r="FG296">
            <v>3</v>
          </cell>
          <cell r="FH296">
            <v>0</v>
          </cell>
          <cell r="FI296">
            <v>3</v>
          </cell>
          <cell r="FJ296">
            <v>25</v>
          </cell>
          <cell r="FK296">
            <v>22</v>
          </cell>
          <cell r="FL296">
            <v>16</v>
          </cell>
          <cell r="FM296">
            <v>6</v>
          </cell>
          <cell r="FN296" t="str">
            <v>1</v>
          </cell>
          <cell r="FO296" t="str">
            <v>1</v>
          </cell>
          <cell r="FP296">
            <v>2</v>
          </cell>
          <cell r="FQ296" t="str">
            <v>21</v>
          </cell>
        </row>
        <row r="297">
          <cell r="F297" t="str">
            <v>전동식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 t="str">
            <v>(3일)</v>
          </cell>
          <cell r="EJ297">
            <v>1</v>
          </cell>
          <cell r="EK297">
            <v>1</v>
          </cell>
          <cell r="FD297">
            <v>6</v>
          </cell>
          <cell r="FE297">
            <v>0</v>
          </cell>
          <cell r="FF297">
            <v>0</v>
          </cell>
          <cell r="FG297">
            <v>5</v>
          </cell>
          <cell r="FH297">
            <v>0</v>
          </cell>
          <cell r="FI297">
            <v>5</v>
          </cell>
          <cell r="FJ297">
            <v>24</v>
          </cell>
          <cell r="FK297">
            <v>19</v>
          </cell>
          <cell r="FL297">
            <v>16</v>
          </cell>
          <cell r="FM297">
            <v>3</v>
          </cell>
          <cell r="FN297" t="str">
            <v>1</v>
          </cell>
          <cell r="FO297" t="str">
            <v>1</v>
          </cell>
          <cell r="FP297">
            <v>2</v>
          </cell>
          <cell r="FQ297" t="str">
            <v>21</v>
          </cell>
        </row>
        <row r="298">
          <cell r="F298" t="str">
            <v>유창종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 t="str">
            <v>(4일)</v>
          </cell>
          <cell r="CO298">
            <v>2</v>
          </cell>
          <cell r="CP298">
            <v>2</v>
          </cell>
          <cell r="CQ298">
            <v>2</v>
          </cell>
          <cell r="FD298">
            <v>6</v>
          </cell>
          <cell r="FE298">
            <v>3</v>
          </cell>
          <cell r="FF298">
            <v>0</v>
          </cell>
          <cell r="FG298">
            <v>4</v>
          </cell>
          <cell r="FH298">
            <v>0</v>
          </cell>
          <cell r="FI298">
            <v>4</v>
          </cell>
          <cell r="FJ298">
            <v>23</v>
          </cell>
          <cell r="FK298">
            <v>19</v>
          </cell>
          <cell r="FL298">
            <v>16</v>
          </cell>
          <cell r="FM298">
            <v>3</v>
          </cell>
          <cell r="FN298" t="str">
            <v>1</v>
          </cell>
          <cell r="FO298" t="str">
            <v>0</v>
          </cell>
          <cell r="FP298">
            <v>1</v>
          </cell>
          <cell r="FQ298" t="str">
            <v>21</v>
          </cell>
        </row>
        <row r="299">
          <cell r="F299" t="str">
            <v>강영모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 t="str">
            <v>(5일)</v>
          </cell>
          <cell r="EE299">
            <v>3</v>
          </cell>
          <cell r="EF299">
            <v>3</v>
          </cell>
          <cell r="EN299">
            <v>1</v>
          </cell>
          <cell r="EO299" t="str">
            <v>(1일)</v>
          </cell>
          <cell r="FD299">
            <v>9</v>
          </cell>
          <cell r="FE299">
            <v>0</v>
          </cell>
          <cell r="FF299">
            <v>2</v>
          </cell>
          <cell r="FG299">
            <v>6</v>
          </cell>
          <cell r="FH299">
            <v>2</v>
          </cell>
          <cell r="FI299">
            <v>8</v>
          </cell>
          <cell r="FJ299">
            <v>24</v>
          </cell>
          <cell r="FK299">
            <v>16</v>
          </cell>
          <cell r="FL299">
            <v>16</v>
          </cell>
          <cell r="FM299">
            <v>0</v>
          </cell>
          <cell r="FN299" t="str">
            <v>0</v>
          </cell>
          <cell r="FO299" t="str">
            <v>1</v>
          </cell>
          <cell r="FP299">
            <v>1</v>
          </cell>
          <cell r="FQ299" t="str">
            <v>21</v>
          </cell>
        </row>
        <row r="300">
          <cell r="F300" t="str">
            <v>김광호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 t="str">
            <v>(5일)</v>
          </cell>
          <cell r="DO300">
            <v>1</v>
          </cell>
          <cell r="DP300">
            <v>1</v>
          </cell>
          <cell r="DQ300">
            <v>1</v>
          </cell>
          <cell r="DR300">
            <v>1</v>
          </cell>
          <cell r="DS300">
            <v>1</v>
          </cell>
          <cell r="DT300" t="str">
            <v>(5일)</v>
          </cell>
          <cell r="EG300">
            <v>3</v>
          </cell>
          <cell r="EH300">
            <v>3</v>
          </cell>
          <cell r="FD300">
            <v>16</v>
          </cell>
          <cell r="FE300">
            <v>0</v>
          </cell>
          <cell r="FF300">
            <v>2</v>
          </cell>
          <cell r="FG300">
            <v>10</v>
          </cell>
          <cell r="FH300">
            <v>3.5</v>
          </cell>
          <cell r="FI300">
            <v>13.5</v>
          </cell>
          <cell r="FJ300">
            <v>24</v>
          </cell>
          <cell r="FK300">
            <v>10.5</v>
          </cell>
          <cell r="FL300">
            <v>16</v>
          </cell>
          <cell r="FM300">
            <v>-5.5</v>
          </cell>
          <cell r="FN300" t="str">
            <v>0</v>
          </cell>
          <cell r="FO300" t="str">
            <v>1</v>
          </cell>
          <cell r="FP300">
            <v>1</v>
          </cell>
          <cell r="FQ300" t="str">
            <v>21</v>
          </cell>
        </row>
        <row r="301">
          <cell r="F301" t="str">
            <v>김성준</v>
          </cell>
          <cell r="AI301">
            <v>1</v>
          </cell>
          <cell r="AJ301">
            <v>1</v>
          </cell>
          <cell r="AK301">
            <v>1</v>
          </cell>
          <cell r="AL301">
            <v>1</v>
          </cell>
          <cell r="AM301">
            <v>1</v>
          </cell>
          <cell r="AN301" t="str">
            <v>(5일)</v>
          </cell>
          <cell r="CP301">
            <v>1</v>
          </cell>
          <cell r="CQ301">
            <v>1</v>
          </cell>
          <cell r="CR301">
            <v>1</v>
          </cell>
          <cell r="CS301" t="str">
            <v>(2일)</v>
          </cell>
          <cell r="DV301">
            <v>3</v>
          </cell>
          <cell r="DW301">
            <v>3</v>
          </cell>
          <cell r="FD301">
            <v>8</v>
          </cell>
          <cell r="FE301">
            <v>0</v>
          </cell>
          <cell r="FF301">
            <v>2</v>
          </cell>
          <cell r="FG301">
            <v>7</v>
          </cell>
          <cell r="FH301">
            <v>0</v>
          </cell>
          <cell r="FI301">
            <v>7</v>
          </cell>
          <cell r="FJ301">
            <v>25</v>
          </cell>
          <cell r="FK301">
            <v>18</v>
          </cell>
          <cell r="FL301">
            <v>16</v>
          </cell>
          <cell r="FM301">
            <v>2</v>
          </cell>
          <cell r="FN301" t="str">
            <v>1</v>
          </cell>
          <cell r="FO301" t="str">
            <v>1</v>
          </cell>
          <cell r="FP301">
            <v>2</v>
          </cell>
          <cell r="FQ301" t="str">
            <v>21</v>
          </cell>
        </row>
        <row r="302">
          <cell r="F302" t="str">
            <v>류종두</v>
          </cell>
          <cell r="AI302">
            <v>1</v>
          </cell>
          <cell r="AJ302">
            <v>1</v>
          </cell>
          <cell r="AK302">
            <v>1</v>
          </cell>
          <cell r="AL302">
            <v>1</v>
          </cell>
          <cell r="AM302">
            <v>1</v>
          </cell>
          <cell r="AN302" t="str">
            <v>(5일)</v>
          </cell>
          <cell r="CM302">
            <v>1</v>
          </cell>
          <cell r="CN302">
            <v>1</v>
          </cell>
          <cell r="CO302">
            <v>1</v>
          </cell>
          <cell r="CP302" t="str">
            <v>(3일)</v>
          </cell>
          <cell r="EG302">
            <v>3</v>
          </cell>
          <cell r="EH302">
            <v>3</v>
          </cell>
          <cell r="FD302">
            <v>8</v>
          </cell>
          <cell r="FE302">
            <v>0</v>
          </cell>
          <cell r="FF302">
            <v>2</v>
          </cell>
          <cell r="FG302">
            <v>8</v>
          </cell>
          <cell r="FH302">
            <v>0</v>
          </cell>
          <cell r="FI302">
            <v>8</v>
          </cell>
          <cell r="FJ302">
            <v>24</v>
          </cell>
          <cell r="FK302">
            <v>16</v>
          </cell>
          <cell r="FL302">
            <v>16</v>
          </cell>
          <cell r="FM302">
            <v>0</v>
          </cell>
          <cell r="FN302" t="str">
            <v>0</v>
          </cell>
          <cell r="FO302" t="str">
            <v>1</v>
          </cell>
          <cell r="FP302">
            <v>1</v>
          </cell>
          <cell r="FQ302" t="str">
            <v>21</v>
          </cell>
        </row>
        <row r="303">
          <cell r="F303" t="str">
            <v>전용환</v>
          </cell>
          <cell r="AI303">
            <v>1</v>
          </cell>
          <cell r="AJ303">
            <v>1</v>
          </cell>
          <cell r="AK303">
            <v>1</v>
          </cell>
          <cell r="AL303">
            <v>1</v>
          </cell>
          <cell r="AM303">
            <v>1</v>
          </cell>
          <cell r="AN303">
            <v>1</v>
          </cell>
          <cell r="AO303" t="str">
            <v>(4일)</v>
          </cell>
          <cell r="CK303">
            <v>1</v>
          </cell>
          <cell r="CL303" t="str">
            <v>(1일)</v>
          </cell>
          <cell r="CX303">
            <v>1</v>
          </cell>
          <cell r="CY303">
            <v>1</v>
          </cell>
          <cell r="CZ303">
            <v>1</v>
          </cell>
          <cell r="DA303" t="str">
            <v>(2일)</v>
          </cell>
          <cell r="DQ303">
            <v>3</v>
          </cell>
          <cell r="DR303">
            <v>3</v>
          </cell>
          <cell r="EE303">
            <v>1</v>
          </cell>
          <cell r="EF303" t="str">
            <v>(1일)</v>
          </cell>
          <cell r="FD303">
            <v>11</v>
          </cell>
          <cell r="FE303">
            <v>0</v>
          </cell>
          <cell r="FF303">
            <v>2</v>
          </cell>
          <cell r="FG303">
            <v>8</v>
          </cell>
          <cell r="FH303">
            <v>0</v>
          </cell>
          <cell r="FI303">
            <v>8</v>
          </cell>
          <cell r="FJ303">
            <v>25</v>
          </cell>
          <cell r="FK303">
            <v>17</v>
          </cell>
          <cell r="FL303">
            <v>16</v>
          </cell>
          <cell r="FM303">
            <v>1</v>
          </cell>
          <cell r="FN303" t="str">
            <v>1</v>
          </cell>
          <cell r="FO303" t="str">
            <v>1</v>
          </cell>
          <cell r="FP303">
            <v>2</v>
          </cell>
          <cell r="FQ303" t="str">
            <v>21</v>
          </cell>
        </row>
        <row r="304">
          <cell r="F304" t="str">
            <v>이재경</v>
          </cell>
          <cell r="J304">
            <v>1</v>
          </cell>
          <cell r="K304">
            <v>1</v>
          </cell>
          <cell r="L304" t="str">
            <v>(2일)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 t="str">
            <v>(3일)</v>
          </cell>
          <cell r="BY304">
            <v>1</v>
          </cell>
          <cell r="BZ304">
            <v>1</v>
          </cell>
          <cell r="CA304">
            <v>1</v>
          </cell>
          <cell r="CB304" t="str">
            <v>(3일)</v>
          </cell>
          <cell r="DS304">
            <v>3</v>
          </cell>
          <cell r="DT304">
            <v>3</v>
          </cell>
          <cell r="FD304">
            <v>13</v>
          </cell>
          <cell r="FE304">
            <v>0</v>
          </cell>
          <cell r="FF304">
            <v>2</v>
          </cell>
          <cell r="FG304">
            <v>8</v>
          </cell>
          <cell r="FH304">
            <v>4</v>
          </cell>
          <cell r="FI304">
            <v>12</v>
          </cell>
          <cell r="FJ304">
            <v>24</v>
          </cell>
          <cell r="FK304">
            <v>12</v>
          </cell>
          <cell r="FL304">
            <v>16</v>
          </cell>
          <cell r="FM304">
            <v>-4</v>
          </cell>
          <cell r="FN304" t="str">
            <v>0</v>
          </cell>
          <cell r="FO304" t="str">
            <v>1</v>
          </cell>
          <cell r="FP304">
            <v>1</v>
          </cell>
          <cell r="FQ304" t="str">
            <v>21</v>
          </cell>
        </row>
        <row r="305">
          <cell r="F305" t="str">
            <v>이상훈</v>
          </cell>
          <cell r="CW305">
            <v>1</v>
          </cell>
          <cell r="CX305">
            <v>1</v>
          </cell>
          <cell r="CY305">
            <v>1</v>
          </cell>
          <cell r="CZ305" t="str">
            <v>(2일)</v>
          </cell>
          <cell r="DX305">
            <v>3</v>
          </cell>
          <cell r="DY305">
            <v>3</v>
          </cell>
          <cell r="FD305">
            <v>8</v>
          </cell>
          <cell r="FE305">
            <v>0</v>
          </cell>
          <cell r="FF305">
            <v>2</v>
          </cell>
          <cell r="FG305">
            <v>2</v>
          </cell>
          <cell r="FH305">
            <v>5</v>
          </cell>
          <cell r="FI305">
            <v>7</v>
          </cell>
          <cell r="FJ305">
            <v>25</v>
          </cell>
          <cell r="FK305">
            <v>18</v>
          </cell>
          <cell r="FL305">
            <v>16</v>
          </cell>
          <cell r="FM305">
            <v>2</v>
          </cell>
          <cell r="FN305" t="str">
            <v>1</v>
          </cell>
          <cell r="FO305" t="str">
            <v>1</v>
          </cell>
          <cell r="FP305">
            <v>2</v>
          </cell>
          <cell r="FQ305" t="str">
            <v>21</v>
          </cell>
        </row>
        <row r="306">
          <cell r="F306" t="str">
            <v>김흥구</v>
          </cell>
          <cell r="FD306">
            <v>10</v>
          </cell>
          <cell r="FE306">
            <v>0</v>
          </cell>
          <cell r="FF306">
            <v>0</v>
          </cell>
          <cell r="FH306">
            <v>8</v>
          </cell>
          <cell r="FI306">
            <v>8</v>
          </cell>
          <cell r="FJ306">
            <v>24</v>
          </cell>
          <cell r="FK306">
            <v>16</v>
          </cell>
          <cell r="FL306">
            <v>16</v>
          </cell>
          <cell r="FM306">
            <v>0</v>
          </cell>
          <cell r="FN306" t="str">
            <v>0</v>
          </cell>
          <cell r="FO306" t="str">
            <v>1</v>
          </cell>
          <cell r="FP306">
            <v>1</v>
          </cell>
          <cell r="FQ306" t="str">
            <v>21</v>
          </cell>
        </row>
        <row r="307">
          <cell r="F307" t="str">
            <v>최홍우</v>
          </cell>
          <cell r="DR307">
            <v>1</v>
          </cell>
          <cell r="DS307">
            <v>1</v>
          </cell>
          <cell r="EF307">
            <v>3</v>
          </cell>
          <cell r="EG307">
            <v>3</v>
          </cell>
          <cell r="FD307">
            <v>2</v>
          </cell>
          <cell r="FE307">
            <v>0</v>
          </cell>
          <cell r="FF307">
            <v>2</v>
          </cell>
          <cell r="FG307">
            <v>2</v>
          </cell>
          <cell r="FH307">
            <v>0</v>
          </cell>
          <cell r="FI307">
            <v>2</v>
          </cell>
          <cell r="FJ307">
            <v>25</v>
          </cell>
          <cell r="FK307">
            <v>23</v>
          </cell>
          <cell r="FL307">
            <v>16</v>
          </cell>
          <cell r="FM307">
            <v>7</v>
          </cell>
          <cell r="FN307" t="str">
            <v>1</v>
          </cell>
          <cell r="FO307" t="str">
            <v>1</v>
          </cell>
          <cell r="FP307">
            <v>2</v>
          </cell>
          <cell r="FQ307" t="str">
            <v>21</v>
          </cell>
        </row>
        <row r="308">
          <cell r="F308" t="str">
            <v>이양구</v>
          </cell>
          <cell r="BP308">
            <v>3</v>
          </cell>
          <cell r="BQ308">
            <v>3</v>
          </cell>
          <cell r="BR308">
            <v>3</v>
          </cell>
          <cell r="BS308">
            <v>3</v>
          </cell>
          <cell r="BT308">
            <v>3</v>
          </cell>
          <cell r="BU308">
            <v>3</v>
          </cell>
          <cell r="BV308">
            <v>3</v>
          </cell>
          <cell r="BW308">
            <v>3</v>
          </cell>
          <cell r="BX308">
            <v>3</v>
          </cell>
          <cell r="BY308">
            <v>3</v>
          </cell>
          <cell r="BZ308">
            <v>3</v>
          </cell>
          <cell r="CA308">
            <v>3</v>
          </cell>
          <cell r="CB308">
            <v>3</v>
          </cell>
          <cell r="CC308">
            <v>3</v>
          </cell>
          <cell r="CD308">
            <v>3</v>
          </cell>
          <cell r="CE308">
            <v>3</v>
          </cell>
          <cell r="CF308">
            <v>3</v>
          </cell>
          <cell r="CG308">
            <v>3</v>
          </cell>
          <cell r="CH308">
            <v>3</v>
          </cell>
          <cell r="CI308">
            <v>3</v>
          </cell>
          <cell r="CJ308">
            <v>3</v>
          </cell>
          <cell r="CK308">
            <v>3</v>
          </cell>
          <cell r="CL308">
            <v>3</v>
          </cell>
          <cell r="CM308">
            <v>3</v>
          </cell>
          <cell r="CN308">
            <v>3</v>
          </cell>
          <cell r="CO308">
            <v>3</v>
          </cell>
          <cell r="CP308">
            <v>3</v>
          </cell>
          <cell r="CQ308">
            <v>3</v>
          </cell>
          <cell r="CR308">
            <v>3</v>
          </cell>
          <cell r="CS308">
            <v>3</v>
          </cell>
          <cell r="CT308">
            <v>3</v>
          </cell>
          <cell r="CU308">
            <v>3</v>
          </cell>
          <cell r="CV308">
            <v>3</v>
          </cell>
          <cell r="CW308">
            <v>3</v>
          </cell>
          <cell r="CX308">
            <v>3</v>
          </cell>
          <cell r="CY308">
            <v>3</v>
          </cell>
          <cell r="CZ308">
            <v>3</v>
          </cell>
          <cell r="DA308">
            <v>3</v>
          </cell>
          <cell r="DB308">
            <v>3</v>
          </cell>
          <cell r="DC308">
            <v>3</v>
          </cell>
          <cell r="DD308">
            <v>3</v>
          </cell>
          <cell r="DE308">
            <v>3</v>
          </cell>
          <cell r="DF308">
            <v>3</v>
          </cell>
          <cell r="DG308">
            <v>3</v>
          </cell>
          <cell r="DH308">
            <v>3</v>
          </cell>
          <cell r="DI308">
            <v>3</v>
          </cell>
          <cell r="DJ308">
            <v>3</v>
          </cell>
          <cell r="DK308">
            <v>3</v>
          </cell>
          <cell r="DL308">
            <v>3</v>
          </cell>
          <cell r="DM308">
            <v>3</v>
          </cell>
          <cell r="DN308">
            <v>3</v>
          </cell>
          <cell r="DO308">
            <v>3</v>
          </cell>
          <cell r="DP308">
            <v>3</v>
          </cell>
          <cell r="DQ308">
            <v>3</v>
          </cell>
          <cell r="DR308">
            <v>3</v>
          </cell>
          <cell r="DS308">
            <v>3</v>
          </cell>
          <cell r="DT308">
            <v>3</v>
          </cell>
          <cell r="DU308">
            <v>3</v>
          </cell>
          <cell r="DV308">
            <v>3</v>
          </cell>
          <cell r="DW308">
            <v>3</v>
          </cell>
          <cell r="DX308">
            <v>3</v>
          </cell>
          <cell r="DY308">
            <v>3</v>
          </cell>
          <cell r="DZ308">
            <v>3</v>
          </cell>
          <cell r="EA308">
            <v>3</v>
          </cell>
          <cell r="EB308">
            <v>3</v>
          </cell>
          <cell r="EC308">
            <v>3</v>
          </cell>
          <cell r="ED308">
            <v>3</v>
          </cell>
          <cell r="EE308">
            <v>3</v>
          </cell>
          <cell r="EF308">
            <v>3</v>
          </cell>
          <cell r="EG308">
            <v>3</v>
          </cell>
          <cell r="EH308">
            <v>3</v>
          </cell>
          <cell r="EI308">
            <v>3</v>
          </cell>
          <cell r="EJ308">
            <v>3</v>
          </cell>
          <cell r="EK308">
            <v>3</v>
          </cell>
          <cell r="EL308">
            <v>3</v>
          </cell>
          <cell r="EM308">
            <v>3</v>
          </cell>
          <cell r="EN308">
            <v>3</v>
          </cell>
          <cell r="EO308">
            <v>3</v>
          </cell>
          <cell r="EP308">
            <v>3</v>
          </cell>
          <cell r="EQ308">
            <v>3</v>
          </cell>
          <cell r="ER308">
            <v>3</v>
          </cell>
          <cell r="ES308">
            <v>3</v>
          </cell>
          <cell r="ET308">
            <v>3</v>
          </cell>
          <cell r="EU308">
            <v>3</v>
          </cell>
          <cell r="EV308">
            <v>3</v>
          </cell>
          <cell r="EW308">
            <v>3</v>
          </cell>
          <cell r="EX308">
            <v>3</v>
          </cell>
          <cell r="EY308">
            <v>3</v>
          </cell>
          <cell r="EZ308">
            <v>3</v>
          </cell>
          <cell r="FA308">
            <v>3</v>
          </cell>
          <cell r="FB308">
            <v>3</v>
          </cell>
          <cell r="FC308">
            <v>3</v>
          </cell>
          <cell r="FD308">
            <v>8</v>
          </cell>
          <cell r="FE308">
            <v>0</v>
          </cell>
          <cell r="FF308">
            <v>102</v>
          </cell>
          <cell r="FH308">
            <v>7</v>
          </cell>
          <cell r="FI308">
            <v>7</v>
          </cell>
          <cell r="FJ308">
            <v>24</v>
          </cell>
          <cell r="FK308">
            <v>17</v>
          </cell>
          <cell r="FL308">
            <v>16</v>
          </cell>
          <cell r="FM308">
            <v>1</v>
          </cell>
          <cell r="FN308" t="str">
            <v>1</v>
          </cell>
          <cell r="FO308" t="str">
            <v>1</v>
          </cell>
          <cell r="FP308">
            <v>2</v>
          </cell>
          <cell r="FQ308" t="str">
            <v>21</v>
          </cell>
        </row>
        <row r="309">
          <cell r="F309" t="str">
            <v>이재노</v>
          </cell>
          <cell r="Q309">
            <v>1</v>
          </cell>
          <cell r="R309" t="str">
            <v>(1일)</v>
          </cell>
          <cell r="CA309">
            <v>1</v>
          </cell>
          <cell r="CB309">
            <v>1</v>
          </cell>
          <cell r="CC309">
            <v>1</v>
          </cell>
          <cell r="CD309" t="str">
            <v>(3일)</v>
          </cell>
          <cell r="EC309">
            <v>3</v>
          </cell>
          <cell r="ED309">
            <v>3</v>
          </cell>
          <cell r="FD309">
            <v>12</v>
          </cell>
          <cell r="FE309">
            <v>0</v>
          </cell>
          <cell r="FF309">
            <v>2</v>
          </cell>
          <cell r="FG309">
            <v>4</v>
          </cell>
          <cell r="FH309">
            <v>5</v>
          </cell>
          <cell r="FI309">
            <v>9</v>
          </cell>
          <cell r="FJ309">
            <v>24</v>
          </cell>
          <cell r="FK309">
            <v>15</v>
          </cell>
          <cell r="FL309">
            <v>16</v>
          </cell>
          <cell r="FM309">
            <v>-1</v>
          </cell>
          <cell r="FN309" t="str">
            <v>0</v>
          </cell>
          <cell r="FO309" t="str">
            <v>1</v>
          </cell>
          <cell r="FP309">
            <v>1</v>
          </cell>
          <cell r="FQ309" t="str">
            <v>21</v>
          </cell>
        </row>
        <row r="310">
          <cell r="F310" t="str">
            <v>김진식</v>
          </cell>
          <cell r="AI310">
            <v>1</v>
          </cell>
          <cell r="AJ310">
            <v>1</v>
          </cell>
          <cell r="AK310">
            <v>1</v>
          </cell>
          <cell r="AL310">
            <v>1</v>
          </cell>
          <cell r="AM310">
            <v>1</v>
          </cell>
          <cell r="AN310">
            <v>1</v>
          </cell>
          <cell r="AO310" t="str">
            <v>(4일)</v>
          </cell>
          <cell r="BU310">
            <v>1</v>
          </cell>
          <cell r="BV310">
            <v>1</v>
          </cell>
          <cell r="BW310">
            <v>1</v>
          </cell>
          <cell r="BX310" t="str">
            <v>(1일)</v>
          </cell>
          <cell r="DX310">
            <v>3</v>
          </cell>
          <cell r="DY310">
            <v>3</v>
          </cell>
          <cell r="FD310">
            <v>16</v>
          </cell>
          <cell r="FE310">
            <v>0</v>
          </cell>
          <cell r="FF310">
            <v>2</v>
          </cell>
          <cell r="FG310">
            <v>5</v>
          </cell>
          <cell r="FH310">
            <v>6</v>
          </cell>
          <cell r="FI310">
            <v>11</v>
          </cell>
          <cell r="FJ310">
            <v>23</v>
          </cell>
          <cell r="FK310">
            <v>12</v>
          </cell>
          <cell r="FL310">
            <v>16</v>
          </cell>
          <cell r="FM310">
            <v>-4</v>
          </cell>
          <cell r="FN310" t="str">
            <v>0</v>
          </cell>
          <cell r="FO310" t="str">
            <v>1</v>
          </cell>
          <cell r="FP310">
            <v>1</v>
          </cell>
          <cell r="FQ310" t="str">
            <v>21</v>
          </cell>
        </row>
        <row r="311">
          <cell r="F311" t="str">
            <v>이명환</v>
          </cell>
          <cell r="AK311">
            <v>1</v>
          </cell>
          <cell r="AL311">
            <v>1</v>
          </cell>
          <cell r="AM311">
            <v>1</v>
          </cell>
          <cell r="AN311">
            <v>1</v>
          </cell>
          <cell r="AO311">
            <v>1</v>
          </cell>
          <cell r="AP311">
            <v>1</v>
          </cell>
          <cell r="AQ311" t="str">
            <v>(5일)</v>
          </cell>
          <cell r="EF311">
            <v>3</v>
          </cell>
          <cell r="EG311">
            <v>3</v>
          </cell>
          <cell r="FD311">
            <v>8</v>
          </cell>
          <cell r="FE311">
            <v>0</v>
          </cell>
          <cell r="FF311">
            <v>2</v>
          </cell>
          <cell r="FG311">
            <v>5</v>
          </cell>
          <cell r="FH311">
            <v>2</v>
          </cell>
          <cell r="FI311">
            <v>7</v>
          </cell>
          <cell r="FJ311">
            <v>25</v>
          </cell>
          <cell r="FK311">
            <v>18</v>
          </cell>
          <cell r="FL311">
            <v>16</v>
          </cell>
          <cell r="FM311">
            <v>2</v>
          </cell>
          <cell r="FN311" t="str">
            <v>1</v>
          </cell>
          <cell r="FO311" t="str">
            <v>1</v>
          </cell>
          <cell r="FP311">
            <v>2</v>
          </cell>
          <cell r="FQ311" t="str">
            <v>21</v>
          </cell>
        </row>
        <row r="312">
          <cell r="F312" t="str">
            <v>이승진</v>
          </cell>
          <cell r="EE312">
            <v>3</v>
          </cell>
          <cell r="EF312">
            <v>3</v>
          </cell>
          <cell r="FD312">
            <v>4</v>
          </cell>
          <cell r="FE312">
            <v>0</v>
          </cell>
          <cell r="FF312">
            <v>2</v>
          </cell>
          <cell r="FH312">
            <v>4</v>
          </cell>
          <cell r="FI312">
            <v>4</v>
          </cell>
          <cell r="FJ312">
            <v>24</v>
          </cell>
          <cell r="FK312">
            <v>20</v>
          </cell>
          <cell r="FL312">
            <v>16</v>
          </cell>
          <cell r="FM312">
            <v>4</v>
          </cell>
          <cell r="FN312" t="str">
            <v>1</v>
          </cell>
          <cell r="FO312" t="str">
            <v>1</v>
          </cell>
          <cell r="FP312">
            <v>2</v>
          </cell>
          <cell r="FQ312" t="str">
            <v>21</v>
          </cell>
        </row>
        <row r="313">
          <cell r="F313" t="str">
            <v>홍만희</v>
          </cell>
          <cell r="BX313">
            <v>1</v>
          </cell>
          <cell r="BY313">
            <v>1</v>
          </cell>
          <cell r="BZ313">
            <v>1</v>
          </cell>
          <cell r="CA313" t="str">
            <v>(3일)</v>
          </cell>
          <cell r="DX313">
            <v>3</v>
          </cell>
          <cell r="DY313">
            <v>3</v>
          </cell>
          <cell r="FD313">
            <v>12</v>
          </cell>
          <cell r="FE313">
            <v>0</v>
          </cell>
          <cell r="FF313">
            <v>2</v>
          </cell>
          <cell r="FG313">
            <v>3</v>
          </cell>
          <cell r="FH313">
            <v>8</v>
          </cell>
          <cell r="FI313">
            <v>11</v>
          </cell>
          <cell r="FJ313">
            <v>24</v>
          </cell>
          <cell r="FK313">
            <v>13</v>
          </cell>
          <cell r="FL313">
            <v>16</v>
          </cell>
          <cell r="FM313">
            <v>-3</v>
          </cell>
          <cell r="FN313" t="str">
            <v>0</v>
          </cell>
          <cell r="FO313" t="str">
            <v>1</v>
          </cell>
          <cell r="FP313">
            <v>1</v>
          </cell>
          <cell r="FQ313" t="str">
            <v>21</v>
          </cell>
        </row>
        <row r="314">
          <cell r="F314" t="str">
            <v>전길신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 t="str">
            <v>(3일)</v>
          </cell>
          <cell r="CG314">
            <v>1</v>
          </cell>
          <cell r="CH314">
            <v>1</v>
          </cell>
          <cell r="CI314">
            <v>1</v>
          </cell>
          <cell r="CJ314" t="str">
            <v>(3일)</v>
          </cell>
          <cell r="EC314">
            <v>3</v>
          </cell>
          <cell r="ED314">
            <v>3</v>
          </cell>
          <cell r="FD314">
            <v>10</v>
          </cell>
          <cell r="FE314">
            <v>8</v>
          </cell>
          <cell r="FF314">
            <v>5</v>
          </cell>
          <cell r="FG314">
            <v>6</v>
          </cell>
          <cell r="FH314">
            <v>2</v>
          </cell>
          <cell r="FI314">
            <v>8</v>
          </cell>
          <cell r="FJ314">
            <v>23</v>
          </cell>
          <cell r="FK314">
            <v>15</v>
          </cell>
          <cell r="FL314">
            <v>16</v>
          </cell>
          <cell r="FM314">
            <v>-1</v>
          </cell>
          <cell r="FN314" t="str">
            <v>0</v>
          </cell>
          <cell r="FO314" t="str">
            <v>0</v>
          </cell>
          <cell r="FP314">
            <v>0</v>
          </cell>
          <cell r="FQ314" t="str">
            <v>21</v>
          </cell>
        </row>
        <row r="315">
          <cell r="F315" t="str">
            <v>이상훈</v>
          </cell>
          <cell r="FD315">
            <v>5</v>
          </cell>
          <cell r="FE315">
            <v>0</v>
          </cell>
          <cell r="FF315">
            <v>0</v>
          </cell>
          <cell r="FG315">
            <v>2</v>
          </cell>
          <cell r="FH315">
            <v>5</v>
          </cell>
          <cell r="FI315">
            <v>7</v>
          </cell>
          <cell r="FJ315">
            <v>25</v>
          </cell>
          <cell r="FK315">
            <v>18</v>
          </cell>
          <cell r="FL315">
            <v>16</v>
          </cell>
          <cell r="FM315">
            <v>2</v>
          </cell>
          <cell r="FN315" t="str">
            <v>1</v>
          </cell>
          <cell r="FO315" t="str">
            <v>1</v>
          </cell>
          <cell r="FP315">
            <v>2</v>
          </cell>
          <cell r="FQ315" t="str">
            <v>21</v>
          </cell>
        </row>
        <row r="316">
          <cell r="F316" t="str">
            <v>이영철</v>
          </cell>
          <cell r="AI316">
            <v>1</v>
          </cell>
          <cell r="AJ316">
            <v>1</v>
          </cell>
          <cell r="AK316">
            <v>1</v>
          </cell>
          <cell r="AL316">
            <v>1</v>
          </cell>
          <cell r="AM316">
            <v>1</v>
          </cell>
          <cell r="AN316">
            <v>1</v>
          </cell>
          <cell r="AO316" t="str">
            <v>(4일)</v>
          </cell>
          <cell r="CQ316">
            <v>1</v>
          </cell>
          <cell r="CR316">
            <v>1</v>
          </cell>
          <cell r="CS316">
            <v>1</v>
          </cell>
          <cell r="CT316" t="str">
            <v>(1일)</v>
          </cell>
          <cell r="DV316">
            <v>3</v>
          </cell>
          <cell r="DW316">
            <v>3</v>
          </cell>
          <cell r="FD316">
            <v>12</v>
          </cell>
          <cell r="FE316">
            <v>0</v>
          </cell>
          <cell r="FF316">
            <v>2</v>
          </cell>
          <cell r="FG316">
            <v>5</v>
          </cell>
          <cell r="FH316">
            <v>1</v>
          </cell>
          <cell r="FI316">
            <v>6</v>
          </cell>
          <cell r="FJ316">
            <v>16</v>
          </cell>
          <cell r="FK316">
            <v>10</v>
          </cell>
          <cell r="FL316">
            <v>16</v>
          </cell>
          <cell r="FM316">
            <v>-6</v>
          </cell>
          <cell r="FN316" t="str">
            <v>0</v>
          </cell>
          <cell r="FO316" t="str">
            <v>1</v>
          </cell>
          <cell r="FP316">
            <v>1</v>
          </cell>
          <cell r="FQ316">
            <v>17</v>
          </cell>
        </row>
        <row r="317">
          <cell r="F317" t="str">
            <v>김선문</v>
          </cell>
          <cell r="DO317">
            <v>3</v>
          </cell>
          <cell r="DP317">
            <v>3</v>
          </cell>
          <cell r="DQ317">
            <v>1</v>
          </cell>
          <cell r="DR317" t="str">
            <v>(1일)</v>
          </cell>
          <cell r="FD317">
            <v>10</v>
          </cell>
          <cell r="FE317">
            <v>0</v>
          </cell>
          <cell r="FF317">
            <v>2</v>
          </cell>
          <cell r="FG317">
            <v>1</v>
          </cell>
          <cell r="FH317">
            <v>5</v>
          </cell>
          <cell r="FI317">
            <v>6</v>
          </cell>
          <cell r="FJ317">
            <v>16</v>
          </cell>
          <cell r="FK317">
            <v>10</v>
          </cell>
          <cell r="FL317">
            <v>16</v>
          </cell>
          <cell r="FM317">
            <v>-6</v>
          </cell>
          <cell r="FN317" t="str">
            <v>0</v>
          </cell>
          <cell r="FO317" t="str">
            <v>1</v>
          </cell>
          <cell r="FP317">
            <v>1</v>
          </cell>
          <cell r="FQ317">
            <v>17</v>
          </cell>
        </row>
        <row r="318">
          <cell r="F318" t="str">
            <v>김동현</v>
          </cell>
          <cell r="EC318">
            <v>3</v>
          </cell>
          <cell r="ED318">
            <v>3</v>
          </cell>
          <cell r="FD318">
            <v>9</v>
          </cell>
          <cell r="FE318">
            <v>0</v>
          </cell>
          <cell r="FF318">
            <v>2</v>
          </cell>
          <cell r="FH318">
            <v>4</v>
          </cell>
          <cell r="FI318">
            <v>4</v>
          </cell>
          <cell r="FJ318">
            <v>16</v>
          </cell>
          <cell r="FK318">
            <v>12</v>
          </cell>
          <cell r="FL318">
            <v>16</v>
          </cell>
          <cell r="FM318">
            <v>-4</v>
          </cell>
          <cell r="FN318" t="str">
            <v>0</v>
          </cell>
          <cell r="FO318" t="str">
            <v>1</v>
          </cell>
          <cell r="FP318">
            <v>1</v>
          </cell>
          <cell r="FQ318">
            <v>17</v>
          </cell>
        </row>
        <row r="319">
          <cell r="F319" t="str">
            <v>우칠명</v>
          </cell>
          <cell r="AA319">
            <v>3</v>
          </cell>
          <cell r="AB319">
            <v>3</v>
          </cell>
          <cell r="AC319">
            <v>3</v>
          </cell>
          <cell r="DS319">
            <v>3</v>
          </cell>
          <cell r="DT319">
            <v>3</v>
          </cell>
          <cell r="FD319">
            <v>8</v>
          </cell>
          <cell r="FE319">
            <v>0</v>
          </cell>
          <cell r="FF319">
            <v>5</v>
          </cell>
          <cell r="FG319">
            <v>0</v>
          </cell>
          <cell r="FH319">
            <v>6</v>
          </cell>
          <cell r="FI319">
            <v>6</v>
          </cell>
          <cell r="FJ319">
            <v>24</v>
          </cell>
          <cell r="FK319">
            <v>18</v>
          </cell>
          <cell r="FL319">
            <v>16</v>
          </cell>
          <cell r="FM319">
            <v>2</v>
          </cell>
          <cell r="FN319" t="str">
            <v>1</v>
          </cell>
          <cell r="FO319" t="str">
            <v>1</v>
          </cell>
          <cell r="FP319">
            <v>2</v>
          </cell>
          <cell r="FQ319" t="str">
            <v>21</v>
          </cell>
        </row>
        <row r="320">
          <cell r="F320" t="str">
            <v>김형성</v>
          </cell>
          <cell r="AR320">
            <v>2</v>
          </cell>
          <cell r="AW320">
            <v>2</v>
          </cell>
          <cell r="AX320">
            <v>2</v>
          </cell>
          <cell r="CZ320">
            <v>1</v>
          </cell>
          <cell r="DA320">
            <v>1</v>
          </cell>
          <cell r="DB320">
            <v>1</v>
          </cell>
          <cell r="DC320" t="str">
            <v>(3일)</v>
          </cell>
          <cell r="DZ320">
            <v>3</v>
          </cell>
          <cell r="EA320">
            <v>3</v>
          </cell>
          <cell r="FD320">
            <v>13</v>
          </cell>
          <cell r="FE320">
            <v>3</v>
          </cell>
          <cell r="FF320">
            <v>2</v>
          </cell>
          <cell r="FG320">
            <v>3</v>
          </cell>
          <cell r="FH320">
            <v>7</v>
          </cell>
          <cell r="FI320">
            <v>10</v>
          </cell>
          <cell r="FJ320">
            <v>24</v>
          </cell>
          <cell r="FK320">
            <v>14</v>
          </cell>
          <cell r="FL320">
            <v>16</v>
          </cell>
          <cell r="FM320">
            <v>-2</v>
          </cell>
          <cell r="FN320" t="str">
            <v>0</v>
          </cell>
          <cell r="FO320" t="str">
            <v>0</v>
          </cell>
          <cell r="FP320">
            <v>0</v>
          </cell>
          <cell r="FQ320" t="str">
            <v>21</v>
          </cell>
        </row>
        <row r="321">
          <cell r="FL321">
            <v>16</v>
          </cell>
          <cell r="FQ321">
            <v>0</v>
          </cell>
        </row>
        <row r="322">
          <cell r="FL322">
            <v>16</v>
          </cell>
          <cell r="FQ322">
            <v>0</v>
          </cell>
        </row>
        <row r="323">
          <cell r="FL323">
            <v>16</v>
          </cell>
          <cell r="FQ323">
            <v>0</v>
          </cell>
        </row>
        <row r="324">
          <cell r="FD324" t="e">
            <v>#N/A</v>
          </cell>
          <cell r="FE324" t="e">
            <v>#N/A</v>
          </cell>
          <cell r="FF324" t="e">
            <v>#N/A</v>
          </cell>
          <cell r="FH324" t="e">
            <v>#N/A</v>
          </cell>
          <cell r="FI324" t="e">
            <v>#N/A</v>
          </cell>
          <cell r="FJ324" t="e">
            <v>#N/A</v>
          </cell>
          <cell r="FK324" t="e">
            <v>#N/A</v>
          </cell>
          <cell r="FL324">
            <v>16</v>
          </cell>
          <cell r="FM324" t="e">
            <v>#N/A</v>
          </cell>
          <cell r="FN324" t="e">
            <v>#N/A</v>
          </cell>
          <cell r="FO324" t="e">
            <v>#N/A</v>
          </cell>
          <cell r="FP324" t="e">
            <v>#N/A</v>
          </cell>
          <cell r="FQ324" t="e">
            <v>#N/A</v>
          </cell>
        </row>
        <row r="325">
          <cell r="FD325" t="e">
            <v>#N/A</v>
          </cell>
          <cell r="FE325" t="e">
            <v>#N/A</v>
          </cell>
          <cell r="FF325" t="e">
            <v>#N/A</v>
          </cell>
          <cell r="FH325" t="e">
            <v>#N/A</v>
          </cell>
          <cell r="FI325" t="e">
            <v>#N/A</v>
          </cell>
          <cell r="FJ325" t="e">
            <v>#N/A</v>
          </cell>
          <cell r="FK325" t="e">
            <v>#N/A</v>
          </cell>
          <cell r="FL325">
            <v>16</v>
          </cell>
          <cell r="FM325" t="e">
            <v>#N/A</v>
          </cell>
          <cell r="FN325" t="e">
            <v>#N/A</v>
          </cell>
          <cell r="FO325" t="e">
            <v>#N/A</v>
          </cell>
          <cell r="FP325" t="e">
            <v>#N/A</v>
          </cell>
          <cell r="FQ325" t="e">
            <v>#N/A</v>
          </cell>
        </row>
        <row r="326">
          <cell r="FK326">
            <v>0</v>
          </cell>
          <cell r="FL326">
            <v>16</v>
          </cell>
          <cell r="FM326">
            <v>-16</v>
          </cell>
          <cell r="FN326" t="str">
            <v>0</v>
          </cell>
          <cell r="FO326" t="str">
            <v>1</v>
          </cell>
          <cell r="FP326">
            <v>1</v>
          </cell>
          <cell r="FQ326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Code"/>
    </sheetNames>
    <sheetDataSet>
      <sheetData sheetId="0"/>
      <sheetData sheetId="1"/>
      <sheetData sheetId="2">
        <row r="1">
          <cell r="C1" t="str">
            <v>은행명</v>
          </cell>
        </row>
        <row r="2">
          <cell r="C2" t="str">
            <v>한국은행</v>
          </cell>
        </row>
        <row r="3">
          <cell r="C3" t="str">
            <v>산업은행</v>
          </cell>
        </row>
        <row r="4">
          <cell r="C4" t="str">
            <v>기업은행</v>
          </cell>
        </row>
        <row r="5">
          <cell r="C5" t="str">
            <v>국민은행</v>
          </cell>
        </row>
        <row r="6">
          <cell r="C6" t="str">
            <v>외환은행</v>
          </cell>
        </row>
        <row r="7">
          <cell r="C7" t="str">
            <v>수협은행</v>
          </cell>
        </row>
        <row r="8">
          <cell r="C8" t="str">
            <v>수출입은행</v>
          </cell>
        </row>
        <row r="9">
          <cell r="C9" t="str">
            <v>농협은행</v>
          </cell>
        </row>
        <row r="10">
          <cell r="C10" t="str">
            <v>지역농/축협</v>
          </cell>
        </row>
        <row r="11">
          <cell r="C11" t="str">
            <v>우리은행</v>
          </cell>
        </row>
        <row r="12">
          <cell r="C12" t="str">
            <v>SC제일은행</v>
          </cell>
        </row>
        <row r="13">
          <cell r="C13" t="str">
            <v>한국씨티은행</v>
          </cell>
        </row>
        <row r="14">
          <cell r="C14" t="str">
            <v>아이엠뱅크(구 대구은행)</v>
          </cell>
        </row>
        <row r="15">
          <cell r="C15" t="str">
            <v>부산은행</v>
          </cell>
        </row>
        <row r="16">
          <cell r="C16" t="str">
            <v>광주은행</v>
          </cell>
        </row>
        <row r="17">
          <cell r="C17" t="str">
            <v>제주은행</v>
          </cell>
        </row>
        <row r="18">
          <cell r="C18" t="str">
            <v>전북은행</v>
          </cell>
        </row>
        <row r="19">
          <cell r="C19" t="str">
            <v>경남은행</v>
          </cell>
        </row>
        <row r="20">
          <cell r="C20" t="str">
            <v>우리카드</v>
          </cell>
        </row>
        <row r="21">
          <cell r="C21" t="str">
            <v>외환카드</v>
          </cell>
        </row>
        <row r="22">
          <cell r="C22" t="str">
            <v>새마을금고중앙회</v>
          </cell>
        </row>
        <row r="23">
          <cell r="C23" t="str">
            <v>신협</v>
          </cell>
        </row>
        <row r="24">
          <cell r="C24" t="str">
            <v>저축은행</v>
          </cell>
        </row>
        <row r="25">
          <cell r="C25" t="str">
            <v>모건스탠리은행</v>
          </cell>
        </row>
        <row r="26">
          <cell r="C26" t="str">
            <v>HSBC은행</v>
          </cell>
        </row>
        <row r="27">
          <cell r="C27" t="str">
            <v>도이치은행</v>
          </cell>
        </row>
        <row r="28">
          <cell r="C28" t="str">
            <v>제이피모간체이스은행</v>
          </cell>
        </row>
        <row r="29">
          <cell r="C29" t="str">
            <v>미즈호은행</v>
          </cell>
        </row>
        <row r="30">
          <cell r="C30" t="str">
            <v>엠유에프지은행</v>
          </cell>
        </row>
        <row r="31">
          <cell r="C31" t="str">
            <v>BOA은행</v>
          </cell>
        </row>
        <row r="32">
          <cell r="C32" t="str">
            <v>비엔피파리바은행</v>
          </cell>
        </row>
        <row r="33">
          <cell r="C33" t="str">
            <v>중국공상은행</v>
          </cell>
        </row>
        <row r="34">
          <cell r="C34" t="str">
            <v>중국은행</v>
          </cell>
        </row>
        <row r="35">
          <cell r="C35" t="str">
            <v>산림조합중앙회</v>
          </cell>
        </row>
        <row r="36">
          <cell r="C36" t="str">
            <v>대화은행</v>
          </cell>
        </row>
        <row r="37">
          <cell r="C37" t="str">
            <v>교통은행</v>
          </cell>
        </row>
        <row r="38">
          <cell r="C38" t="str">
            <v>중국건설은행</v>
          </cell>
        </row>
        <row r="39">
          <cell r="C39" t="str">
            <v>우체국</v>
          </cell>
        </row>
        <row r="40">
          <cell r="C40" t="str">
            <v>신용보증기금</v>
          </cell>
        </row>
        <row r="41">
          <cell r="C41" t="str">
            <v>기술보증기금</v>
          </cell>
        </row>
        <row r="42">
          <cell r="C42" t="str">
            <v>KEB하나은행</v>
          </cell>
        </row>
        <row r="43">
          <cell r="C43" t="str">
            <v>신한은행</v>
          </cell>
        </row>
        <row r="44">
          <cell r="C44" t="str">
            <v>케이뱅크</v>
          </cell>
        </row>
        <row r="45">
          <cell r="C45" t="str">
            <v>카카오뱅크</v>
          </cell>
        </row>
        <row r="46">
          <cell r="C46" t="str">
            <v>토스뱅크</v>
          </cell>
        </row>
        <row r="47">
          <cell r="C47" t="str">
            <v>한국신용정보원</v>
          </cell>
        </row>
        <row r="48">
          <cell r="C48" t="str">
            <v>유안타증권</v>
          </cell>
        </row>
        <row r="49">
          <cell r="C49" t="str">
            <v>KB증권</v>
          </cell>
        </row>
        <row r="50">
          <cell r="C50" t="str">
            <v>상상인증권</v>
          </cell>
        </row>
        <row r="51">
          <cell r="C51" t="str">
            <v>한양증권</v>
          </cell>
        </row>
        <row r="52">
          <cell r="C52" t="str">
            <v>리딩투자증권</v>
          </cell>
        </row>
        <row r="53">
          <cell r="C53" t="str">
            <v>BNK투자증권</v>
          </cell>
        </row>
        <row r="54">
          <cell r="C54" t="str">
            <v>IBK투자증권</v>
          </cell>
        </row>
        <row r="55">
          <cell r="C55" t="str">
            <v>KTB투자증권</v>
          </cell>
        </row>
        <row r="56">
          <cell r="C56" t="str">
            <v>미래에셋대우</v>
          </cell>
        </row>
        <row r="57">
          <cell r="C57" t="str">
            <v>삼성증권</v>
          </cell>
        </row>
        <row r="58">
          <cell r="C58" t="str">
            <v>한국투자증권</v>
          </cell>
        </row>
        <row r="59">
          <cell r="C59" t="str">
            <v>NH투자증권</v>
          </cell>
        </row>
        <row r="60">
          <cell r="C60" t="str">
            <v>교보증권</v>
          </cell>
        </row>
        <row r="61">
          <cell r="C61" t="str">
            <v>하이투자증권</v>
          </cell>
        </row>
        <row r="62">
          <cell r="C62" t="str">
            <v>현대차증권</v>
          </cell>
        </row>
        <row r="63">
          <cell r="C63" t="str">
            <v>키움증권</v>
          </cell>
        </row>
        <row r="64">
          <cell r="C64" t="str">
            <v>이베스트투자증권</v>
          </cell>
        </row>
        <row r="65">
          <cell r="C65" t="str">
            <v>SK증권</v>
          </cell>
        </row>
        <row r="66">
          <cell r="C66" t="str">
            <v>대신증권</v>
          </cell>
        </row>
        <row r="67">
          <cell r="C67" t="str">
            <v>한화투자증권</v>
          </cell>
        </row>
        <row r="68">
          <cell r="C68" t="str">
            <v>하나금융투자</v>
          </cell>
        </row>
        <row r="69">
          <cell r="C69" t="str">
            <v>신한금융투자</v>
          </cell>
        </row>
        <row r="70">
          <cell r="C70" t="str">
            <v>DB금융투자</v>
          </cell>
        </row>
        <row r="71">
          <cell r="C71" t="str">
            <v>유진투자증권</v>
          </cell>
        </row>
        <row r="72">
          <cell r="C72" t="str">
            <v>메리츠종합금융증권</v>
          </cell>
        </row>
        <row r="73">
          <cell r="C73" t="str">
            <v>바로투자증권</v>
          </cell>
        </row>
        <row r="74">
          <cell r="C74" t="str">
            <v>부국증권</v>
          </cell>
        </row>
        <row r="75">
          <cell r="C75" t="str">
            <v>신영증권</v>
          </cell>
        </row>
        <row r="76">
          <cell r="C76" t="str">
            <v>케이프투자증권</v>
          </cell>
        </row>
        <row r="77">
          <cell r="C77" t="str">
            <v>한국증권금융</v>
          </cell>
        </row>
        <row r="78">
          <cell r="C78" t="str">
            <v>한국포스증권</v>
          </cell>
        </row>
        <row r="79">
          <cell r="C79" t="str">
            <v>우리종합금융</v>
          </cell>
        </row>
        <row r="80">
          <cell r="C80" t="str">
            <v>아주캐피탈</v>
          </cell>
        </row>
        <row r="81">
          <cell r="C81" t="str">
            <v>BC카드</v>
          </cell>
        </row>
        <row r="82">
          <cell r="C82" t="str">
            <v>광주카드</v>
          </cell>
        </row>
        <row r="83">
          <cell r="C83" t="str">
            <v>삼성카드</v>
          </cell>
        </row>
        <row r="84">
          <cell r="C84" t="str">
            <v>신한카드</v>
          </cell>
        </row>
        <row r="85">
          <cell r="C85" t="str">
            <v>현대카드</v>
          </cell>
        </row>
        <row r="86">
          <cell r="C86" t="str">
            <v>롯데카드</v>
          </cell>
        </row>
        <row r="87">
          <cell r="C87" t="str">
            <v>수협카드</v>
          </cell>
        </row>
        <row r="88">
          <cell r="C88" t="str">
            <v>씨티카드</v>
          </cell>
        </row>
        <row r="89">
          <cell r="C89" t="str">
            <v>NH카드</v>
          </cell>
        </row>
        <row r="90">
          <cell r="C90" t="str">
            <v>전북카드</v>
          </cell>
        </row>
        <row r="91">
          <cell r="C91" t="str">
            <v>제주카드</v>
          </cell>
        </row>
        <row r="92">
          <cell r="C92" t="str">
            <v>하나SK카드</v>
          </cell>
        </row>
        <row r="93">
          <cell r="C93" t="str">
            <v>KB국민카드</v>
          </cell>
        </row>
        <row r="94">
          <cell r="C94" t="str">
            <v>미래에셋생명</v>
          </cell>
        </row>
        <row r="95">
          <cell r="C95" t="str">
            <v>한화생명</v>
          </cell>
        </row>
        <row r="96">
          <cell r="C96" t="str">
            <v>교보라이프플래닛생명</v>
          </cell>
        </row>
        <row r="97">
          <cell r="C97" t="str">
            <v>푸본현대생명</v>
          </cell>
        </row>
        <row r="98">
          <cell r="C98" t="str">
            <v>라이나생명</v>
          </cell>
        </row>
        <row r="99">
          <cell r="C99" t="str">
            <v>교보생명</v>
          </cell>
        </row>
        <row r="100">
          <cell r="C100" t="str">
            <v>에이비엘생명</v>
          </cell>
        </row>
        <row r="101">
          <cell r="C101" t="str">
            <v>신한생명</v>
          </cell>
        </row>
        <row r="102">
          <cell r="C102" t="str">
            <v>KB생명보험</v>
          </cell>
        </row>
        <row r="103">
          <cell r="C103" t="str">
            <v>농협생명</v>
          </cell>
        </row>
        <row r="104">
          <cell r="C104" t="str">
            <v>삼성화재</v>
          </cell>
        </row>
        <row r="105">
          <cell r="C105" t="str">
            <v>현대해상</v>
          </cell>
        </row>
        <row r="106">
          <cell r="C106" t="str">
            <v>DB손해보험</v>
          </cell>
        </row>
        <row r="107">
          <cell r="C107" t="str">
            <v>KB손해보험</v>
          </cell>
        </row>
        <row r="108">
          <cell r="C108" t="str">
            <v>롯데손해보험</v>
          </cell>
        </row>
        <row r="109">
          <cell r="C109" t="str">
            <v>오렌지라이프생명보험</v>
          </cell>
        </row>
        <row r="110">
          <cell r="C110" t="str">
            <v>악사손해보험</v>
          </cell>
        </row>
        <row r="111">
          <cell r="C111" t="str">
            <v>메리츠화재</v>
          </cell>
        </row>
        <row r="112">
          <cell r="C112" t="str">
            <v>농협손해보험</v>
          </cell>
        </row>
        <row r="113">
          <cell r="C113" t="str">
            <v>푸르덴셜생명보험</v>
          </cell>
        </row>
        <row r="114">
          <cell r="C114" t="str">
            <v>삼성생명</v>
          </cell>
        </row>
        <row r="115">
          <cell r="C115" t="str">
            <v>흥국생명</v>
          </cell>
        </row>
        <row r="116">
          <cell r="C116" t="str">
            <v>한화손해보험</v>
          </cell>
        </row>
        <row r="117">
          <cell r="C117" t="str">
            <v>AIA생명보험</v>
          </cell>
        </row>
        <row r="118">
          <cell r="C118" t="str">
            <v>DGB생명보험</v>
          </cell>
        </row>
        <row r="119">
          <cell r="C119" t="str">
            <v>DB생명보험</v>
          </cell>
        </row>
        <row r="120">
          <cell r="C120" t="str">
            <v>KDB생명보험</v>
          </cell>
        </row>
        <row r="121">
          <cell r="C121" t="str">
            <v>기타(해외은행 등)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64896"/>
  <sheetViews>
    <sheetView tabSelected="1" view="pageBreakPreview" zoomScale="80" zoomScaleNormal="70" zoomScaleSheetLayoutView="8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AP14" sqref="AP14"/>
    </sheetView>
  </sheetViews>
  <sheetFormatPr defaultRowHeight="16.5" x14ac:dyDescent="0.3"/>
  <cols>
    <col min="1" max="1" width="6" style="1" customWidth="1"/>
    <col min="2" max="2" width="9.5" style="1" customWidth="1"/>
    <col min="3" max="3" width="35" style="1" customWidth="1"/>
    <col min="4" max="4" width="10.375" style="1" customWidth="1"/>
    <col min="5" max="5" width="26.5" style="1" customWidth="1"/>
    <col min="6" max="6" width="11.375" style="1" customWidth="1"/>
    <col min="7" max="7" width="61.625" style="1" customWidth="1"/>
    <col min="8" max="8" width="9" style="1" customWidth="1"/>
    <col min="9" max="9" width="19.625" style="1" bestFit="1" customWidth="1"/>
    <col min="10" max="10" width="10" style="1" customWidth="1"/>
    <col min="11" max="12" width="12.25" style="1" customWidth="1"/>
    <col min="13" max="13" width="12.375" style="1" customWidth="1"/>
    <col min="14" max="16" width="10" style="1" customWidth="1"/>
    <col min="17" max="17" width="13.625" style="1" customWidth="1"/>
    <col min="18" max="18" width="10" style="1" customWidth="1"/>
    <col min="19" max="19" width="7.75" style="1" customWidth="1"/>
    <col min="20" max="21" width="8.25" style="1" customWidth="1"/>
    <col min="22" max="22" width="10.375" style="1" customWidth="1"/>
    <col min="23" max="24" width="17.375" style="1" customWidth="1"/>
    <col min="25" max="31" width="8.75" style="1" customWidth="1"/>
    <col min="32" max="32" width="13.25" style="1" customWidth="1"/>
    <col min="33" max="33" width="15.75" style="1" customWidth="1"/>
    <col min="34" max="34" width="9.625" style="1" customWidth="1"/>
    <col min="35" max="35" width="11.375" style="1" customWidth="1"/>
    <col min="36" max="37" width="13.125" style="1" bestFit="1" customWidth="1"/>
    <col min="38" max="38" width="12.375" style="1" customWidth="1"/>
    <col min="39" max="39" width="15.625" style="1" bestFit="1" customWidth="1"/>
    <col min="40" max="41" width="12.375" style="1" customWidth="1"/>
    <col min="42" max="42" width="20.125" style="1" customWidth="1"/>
    <col min="43" max="43" width="14.75" style="1" customWidth="1"/>
    <col min="44" max="44" width="18.625" style="1" customWidth="1"/>
    <col min="45" max="16384" width="9" style="1"/>
  </cols>
  <sheetData>
    <row r="1" spans="1:44" ht="53.25" customHeight="1" x14ac:dyDescent="0.35">
      <c r="A1" s="150" t="s">
        <v>284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33" t="s">
        <v>0</v>
      </c>
    </row>
    <row r="2" spans="1:44" ht="23.25" customHeight="1" thickBot="1" x14ac:dyDescent="0.35">
      <c r="A2" s="100" t="s">
        <v>87</v>
      </c>
      <c r="B2" s="99"/>
      <c r="C2" s="99"/>
      <c r="D2" s="99"/>
      <c r="E2" s="98"/>
      <c r="F2" s="98"/>
      <c r="G2" s="31"/>
      <c r="H2" s="31"/>
      <c r="I2" s="31"/>
      <c r="J2" s="31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75">
        <f>SUBTOTAL(9,W14:W23)</f>
        <v>0</v>
      </c>
      <c r="X2" s="34"/>
      <c r="Y2" s="34"/>
      <c r="Z2" s="34"/>
      <c r="AA2" s="34"/>
      <c r="AB2" s="34"/>
      <c r="AC2" s="34"/>
      <c r="AD2" s="34"/>
      <c r="AE2" s="34"/>
      <c r="AF2" s="75">
        <f>SUBTOTAL(9,AF14:AF23)</f>
        <v>0</v>
      </c>
      <c r="AG2" s="75">
        <f>SUBTOTAL(9,AG14:AG23)</f>
        <v>0</v>
      </c>
      <c r="AH2" s="34"/>
      <c r="AI2" s="34"/>
      <c r="AJ2" s="34"/>
      <c r="AK2" s="34"/>
      <c r="AL2" s="34"/>
      <c r="AM2" s="34"/>
      <c r="AN2" s="34"/>
      <c r="AO2" s="75">
        <f>SUBTOTAL(9,AO14:AO23)</f>
        <v>0</v>
      </c>
      <c r="AP2" s="34"/>
      <c r="AQ2" s="75">
        <f>SUBTOTAL(9,AQ14:AQ23)</f>
        <v>0</v>
      </c>
      <c r="AR2" s="75">
        <f>SUBTOTAL(9,AR14:AR23)</f>
        <v>0</v>
      </c>
    </row>
    <row r="3" spans="1:44" ht="45" customHeight="1" thickBot="1" x14ac:dyDescent="0.35">
      <c r="A3" s="151" t="s">
        <v>30</v>
      </c>
      <c r="B3" s="152"/>
      <c r="C3" s="152"/>
      <c r="D3" s="153"/>
      <c r="E3" s="154" t="s">
        <v>1</v>
      </c>
      <c r="F3" s="155"/>
      <c r="G3" s="155"/>
      <c r="H3" s="155"/>
      <c r="I3" s="155"/>
      <c r="J3" s="155"/>
      <c r="K3" s="166" t="s">
        <v>36</v>
      </c>
      <c r="L3" s="167"/>
      <c r="M3" s="163" t="s">
        <v>2</v>
      </c>
      <c r="N3" s="164"/>
      <c r="O3" s="164"/>
      <c r="P3" s="164"/>
      <c r="Q3" s="164"/>
      <c r="R3" s="164"/>
      <c r="S3" s="164"/>
      <c r="T3" s="164"/>
      <c r="U3" s="164"/>
      <c r="V3" s="164"/>
      <c r="W3" s="165"/>
      <c r="X3" s="132" t="s">
        <v>72</v>
      </c>
      <c r="Y3" s="70"/>
      <c r="Z3" s="25"/>
      <c r="AA3" s="25"/>
      <c r="AB3" s="25"/>
      <c r="AC3" s="25"/>
      <c r="AD3" s="68" t="s">
        <v>71</v>
      </c>
      <c r="AE3" s="26"/>
      <c r="AF3" s="27"/>
      <c r="AG3" s="140" t="s">
        <v>74</v>
      </c>
      <c r="AH3" s="156" t="s">
        <v>3</v>
      </c>
      <c r="AI3" s="157"/>
      <c r="AJ3" s="157"/>
      <c r="AK3" s="157"/>
      <c r="AL3" s="157"/>
      <c r="AM3" s="157"/>
      <c r="AN3" s="157"/>
      <c r="AO3" s="158"/>
      <c r="AP3" s="158"/>
      <c r="AQ3" s="159"/>
      <c r="AR3" s="160" t="s">
        <v>4</v>
      </c>
    </row>
    <row r="4" spans="1:44" ht="61.5" customHeight="1" x14ac:dyDescent="0.3">
      <c r="A4" s="118" t="s">
        <v>5</v>
      </c>
      <c r="B4" s="118" t="s">
        <v>6</v>
      </c>
      <c r="C4" s="118" t="s">
        <v>49</v>
      </c>
      <c r="D4" s="120" t="s">
        <v>7</v>
      </c>
      <c r="E4" s="120" t="s">
        <v>8</v>
      </c>
      <c r="F4" s="120" t="s">
        <v>9</v>
      </c>
      <c r="G4" s="118" t="s">
        <v>86</v>
      </c>
      <c r="H4" s="118" t="s">
        <v>10</v>
      </c>
      <c r="I4" s="118" t="s">
        <v>11</v>
      </c>
      <c r="J4" s="126" t="s">
        <v>12</v>
      </c>
      <c r="K4" s="128" t="s">
        <v>52</v>
      </c>
      <c r="L4" s="130" t="s">
        <v>53</v>
      </c>
      <c r="M4" s="148" t="s">
        <v>42</v>
      </c>
      <c r="N4" s="118" t="s">
        <v>43</v>
      </c>
      <c r="O4" s="118" t="s">
        <v>44</v>
      </c>
      <c r="P4" s="118" t="s">
        <v>68</v>
      </c>
      <c r="Q4" s="118" t="s">
        <v>45</v>
      </c>
      <c r="R4" s="118" t="s">
        <v>46</v>
      </c>
      <c r="S4" s="118" t="s">
        <v>47</v>
      </c>
      <c r="T4" s="118" t="s">
        <v>48</v>
      </c>
      <c r="U4" s="118" t="s">
        <v>50</v>
      </c>
      <c r="V4" s="122" t="s">
        <v>51</v>
      </c>
      <c r="W4" s="124" t="s">
        <v>66</v>
      </c>
      <c r="X4" s="133"/>
      <c r="Y4" s="116" t="s">
        <v>40</v>
      </c>
      <c r="Z4" s="146" t="s">
        <v>62</v>
      </c>
      <c r="AA4" s="147"/>
      <c r="AB4" s="146" t="s">
        <v>61</v>
      </c>
      <c r="AC4" s="147"/>
      <c r="AD4" s="146" t="s">
        <v>63</v>
      </c>
      <c r="AE4" s="147"/>
      <c r="AF4" s="138" t="s">
        <v>73</v>
      </c>
      <c r="AG4" s="141"/>
      <c r="AH4" s="148" t="s">
        <v>41</v>
      </c>
      <c r="AI4" s="118" t="s">
        <v>13</v>
      </c>
      <c r="AJ4" s="118" t="s">
        <v>14</v>
      </c>
      <c r="AK4" s="118" t="s">
        <v>15</v>
      </c>
      <c r="AL4" s="118" t="s">
        <v>37</v>
      </c>
      <c r="AM4" s="118" t="s">
        <v>16</v>
      </c>
      <c r="AN4" s="145" t="s">
        <v>38</v>
      </c>
      <c r="AO4" s="134" t="s">
        <v>33</v>
      </c>
      <c r="AP4" s="136" t="s">
        <v>39</v>
      </c>
      <c r="AQ4" s="143" t="s">
        <v>75</v>
      </c>
      <c r="AR4" s="161"/>
    </row>
    <row r="5" spans="1:44" ht="28.5" customHeight="1" x14ac:dyDescent="0.3">
      <c r="A5" s="119"/>
      <c r="B5" s="119"/>
      <c r="C5" s="119"/>
      <c r="D5" s="121"/>
      <c r="E5" s="121"/>
      <c r="F5" s="121"/>
      <c r="G5" s="119"/>
      <c r="H5" s="119"/>
      <c r="I5" s="119"/>
      <c r="J5" s="127"/>
      <c r="K5" s="129"/>
      <c r="L5" s="131"/>
      <c r="M5" s="149"/>
      <c r="N5" s="119"/>
      <c r="O5" s="119"/>
      <c r="P5" s="119"/>
      <c r="Q5" s="119"/>
      <c r="R5" s="119"/>
      <c r="S5" s="119"/>
      <c r="T5" s="119"/>
      <c r="U5" s="119"/>
      <c r="V5" s="123"/>
      <c r="W5" s="125"/>
      <c r="X5" s="67" t="s">
        <v>70</v>
      </c>
      <c r="Y5" s="117"/>
      <c r="Z5" s="72" t="s">
        <v>64</v>
      </c>
      <c r="AA5" s="72" t="s">
        <v>65</v>
      </c>
      <c r="AB5" s="72" t="s">
        <v>64</v>
      </c>
      <c r="AC5" s="72" t="s">
        <v>65</v>
      </c>
      <c r="AD5" s="72" t="s">
        <v>64</v>
      </c>
      <c r="AE5" s="72" t="s">
        <v>65</v>
      </c>
      <c r="AF5" s="139"/>
      <c r="AG5" s="142"/>
      <c r="AH5" s="149"/>
      <c r="AI5" s="119"/>
      <c r="AJ5" s="119"/>
      <c r="AK5" s="119"/>
      <c r="AL5" s="119"/>
      <c r="AM5" s="119"/>
      <c r="AN5" s="137"/>
      <c r="AO5" s="135"/>
      <c r="AP5" s="137"/>
      <c r="AQ5" s="144"/>
      <c r="AR5" s="162"/>
    </row>
    <row r="6" spans="1:44" s="58" customFormat="1" ht="30" customHeight="1" x14ac:dyDescent="0.3">
      <c r="A6" s="78"/>
      <c r="B6" s="38" t="s">
        <v>278</v>
      </c>
      <c r="C6" s="39" t="s">
        <v>279</v>
      </c>
      <c r="D6" s="40" t="s">
        <v>55</v>
      </c>
      <c r="E6" s="41" t="s">
        <v>54</v>
      </c>
      <c r="F6" s="40" t="s">
        <v>88</v>
      </c>
      <c r="G6" s="42" t="s">
        <v>281</v>
      </c>
      <c r="H6" s="38"/>
      <c r="I6" s="41"/>
      <c r="J6" s="43"/>
      <c r="K6" s="65" t="s">
        <v>56</v>
      </c>
      <c r="L6" s="64" t="s">
        <v>59</v>
      </c>
      <c r="M6" s="76">
        <f>ROUNDDOWN(IF($K6="1유형",IF($L6="이상",2344500,2344500),IF($K6="2유형",IF($L6="미만",0,2144500),IF(OR($K6="1인 당직",$K6="2인 당직"),IF($L6="미만",0,2144500*$P6/209)))),-1)</f>
        <v>0</v>
      </c>
      <c r="N6" s="77" t="str">
        <f>IF($K6="1유형",IF($L6="이상","160000","0"),IF($K6="2유형",IF($L6="미만","0","160000"),IF($K6="1인 당직",IF($L6="미만","0","160000"),IF($K6="2인 당직",IF($L6="미만","0","100000")))))</f>
        <v>0</v>
      </c>
      <c r="O6" s="44"/>
      <c r="P6" s="44">
        <v>209</v>
      </c>
      <c r="Q6" s="45">
        <f t="shared" ref="Q6:Q14" si="0">IFERROR(ROUNDUP(IF(AND(OR($K6="2유형",$K6="1인 당직",$K6="2인 당직"),$L6="미만"),"10,320",(($M6+$N6+$O6)/$P6)),2),0)</f>
        <v>10320</v>
      </c>
      <c r="R6" s="61">
        <v>8</v>
      </c>
      <c r="S6" s="44">
        <v>1</v>
      </c>
      <c r="T6" s="44"/>
      <c r="U6" s="44"/>
      <c r="V6" s="62"/>
      <c r="W6" s="69">
        <f>ROUNDDOWN(IF($L6="미만",($Q6*$R6*$S6),(($Q6*$R6*$S6)+($Q6*$U6*$V6))),-1)</f>
        <v>82560</v>
      </c>
      <c r="X6" s="73">
        <v>100</v>
      </c>
      <c r="Y6" s="71" t="s">
        <v>84</v>
      </c>
      <c r="Z6" s="47"/>
      <c r="AA6" s="47"/>
      <c r="AB6" s="47"/>
      <c r="AC6" s="47"/>
      <c r="AD6" s="47"/>
      <c r="AE6" s="47"/>
      <c r="AF6" s="48">
        <f t="shared" ref="AF6:AF19" si="1">ROUNDDOWN(IF($Y6="o",($Q6*AB6*1)+($Q6*$AC6/60*1)+($Q6*AD6*0.5)+($Q6*$AE6/60*0.5),($Q6*$Z6*1)+($Q6*$AA6/60*1)+($Q6*$AB6*1.5)+($Q6*$AC6/60*1.5)+($Q6*$AD6*0.5)+($Q6*$AE6/60*0.5)),-1)</f>
        <v>0</v>
      </c>
      <c r="AG6" s="49">
        <f>$W6+$AF6+$X6</f>
        <v>82660</v>
      </c>
      <c r="AH6" s="50"/>
      <c r="AI6" s="51"/>
      <c r="AJ6" s="52"/>
      <c r="AK6" s="52"/>
      <c r="AL6" s="52"/>
      <c r="AM6" s="52"/>
      <c r="AN6" s="53"/>
      <c r="AO6" s="54">
        <f>ROUNDDOWN(IF($AH6="O",0,$AG6*9/1000),-1)</f>
        <v>740</v>
      </c>
      <c r="AP6" s="55"/>
      <c r="AQ6" s="56">
        <f>AI6+AJ6+AK6+AL6+AM6+AN6+AO6</f>
        <v>740</v>
      </c>
      <c r="AR6" s="57">
        <f>AG6-AQ6</f>
        <v>81920</v>
      </c>
    </row>
    <row r="7" spans="1:44" s="58" customFormat="1" ht="30" customHeight="1" x14ac:dyDescent="0.3">
      <c r="A7" s="79"/>
      <c r="B7" s="38" t="s">
        <v>278</v>
      </c>
      <c r="C7" s="39" t="s">
        <v>279</v>
      </c>
      <c r="D7" s="40" t="s">
        <v>55</v>
      </c>
      <c r="E7" s="41" t="s">
        <v>78</v>
      </c>
      <c r="F7" s="40" t="s">
        <v>89</v>
      </c>
      <c r="G7" s="41" t="s">
        <v>282</v>
      </c>
      <c r="H7" s="59"/>
      <c r="I7" s="41"/>
      <c r="J7" s="60"/>
      <c r="K7" s="65" t="s">
        <v>56</v>
      </c>
      <c r="L7" s="64" t="s">
        <v>57</v>
      </c>
      <c r="M7" s="76">
        <f t="shared" ref="M7:M23" si="2">ROUNDDOWN(IF($K7="1유형",IF($L7="이상",2344500,2344500),IF($K7="2유형",IF($L7="미만",0,2144500),IF(OR($K7="1인 당직",$K7="2인 당직"),IF($L7="미만",0,2144500*$P7/209)))),-1)</f>
        <v>2144500</v>
      </c>
      <c r="N7" s="77" t="str">
        <f t="shared" ref="N7:N23" si="3">IF($K7="1유형",IF($L7="이상","160000","0"),IF($K7="2유형",IF($L7="미만","0","160000"),IF($K7="1인 당직",IF($L7="미만","0","160000"),IF($K7="2인 당직",IF($L7="미만","0","100000")))))</f>
        <v>160000</v>
      </c>
      <c r="O7" s="46">
        <v>70000</v>
      </c>
      <c r="P7" s="46">
        <v>209</v>
      </c>
      <c r="Q7" s="45">
        <f t="shared" si="0"/>
        <v>11361.25</v>
      </c>
      <c r="R7" s="61">
        <v>8</v>
      </c>
      <c r="S7" s="46">
        <v>3</v>
      </c>
      <c r="T7" s="46"/>
      <c r="U7" s="46"/>
      <c r="V7" s="63"/>
      <c r="W7" s="69">
        <f t="shared" ref="W7:W23" si="4">ROUNDDOWN(IF($L7="미만",($Q7*$R7*$S7),(($Q7*$R7*$S7)+($Q7*$U7*$V7))),-1)</f>
        <v>272670</v>
      </c>
      <c r="X7" s="73"/>
      <c r="Y7" s="71" t="s">
        <v>84</v>
      </c>
      <c r="Z7" s="47"/>
      <c r="AA7" s="47"/>
      <c r="AB7" s="47"/>
      <c r="AC7" s="47"/>
      <c r="AD7" s="47"/>
      <c r="AE7" s="47"/>
      <c r="AF7" s="48">
        <f t="shared" si="1"/>
        <v>0</v>
      </c>
      <c r="AG7" s="49">
        <f t="shared" ref="AG7:AG23" si="5">$W7+$AF7+$X7</f>
        <v>272670</v>
      </c>
      <c r="AH7" s="50"/>
      <c r="AI7" s="51"/>
      <c r="AJ7" s="52"/>
      <c r="AK7" s="52"/>
      <c r="AL7" s="52"/>
      <c r="AM7" s="52"/>
      <c r="AN7" s="53"/>
      <c r="AO7" s="54">
        <f t="shared" ref="AO7:AO23" si="6">ROUNDDOWN(IF($AH7="O",0,$AG7*9/1000),-1)</f>
        <v>2450</v>
      </c>
      <c r="AP7" s="55"/>
      <c r="AQ7" s="56">
        <f t="shared" ref="AQ7:AQ9" si="7">AI7+AJ7+AK7+AL7+AM7+AN7+AO7</f>
        <v>2450</v>
      </c>
      <c r="AR7" s="57">
        <f t="shared" ref="AR7:AR9" si="8">AG7-AQ7</f>
        <v>270220</v>
      </c>
    </row>
    <row r="8" spans="1:44" s="58" customFormat="1" ht="30" customHeight="1" x14ac:dyDescent="0.3">
      <c r="A8" s="79"/>
      <c r="B8" s="38" t="s">
        <v>278</v>
      </c>
      <c r="C8" s="39" t="s">
        <v>279</v>
      </c>
      <c r="D8" s="40" t="s">
        <v>55</v>
      </c>
      <c r="E8" s="41" t="s">
        <v>77</v>
      </c>
      <c r="F8" s="40" t="s">
        <v>90</v>
      </c>
      <c r="G8" s="41" t="s">
        <v>283</v>
      </c>
      <c r="H8" s="59"/>
      <c r="I8" s="41"/>
      <c r="J8" s="60"/>
      <c r="K8" s="65" t="s">
        <v>67</v>
      </c>
      <c r="L8" s="64" t="s">
        <v>59</v>
      </c>
      <c r="M8" s="76">
        <f t="shared" si="2"/>
        <v>2344500</v>
      </c>
      <c r="N8" s="77" t="str">
        <f t="shared" si="3"/>
        <v>0</v>
      </c>
      <c r="O8" s="46"/>
      <c r="P8" s="46">
        <v>209</v>
      </c>
      <c r="Q8" s="45">
        <f t="shared" si="0"/>
        <v>11217.710000000001</v>
      </c>
      <c r="R8" s="61">
        <v>8</v>
      </c>
      <c r="S8" s="46">
        <v>1</v>
      </c>
      <c r="T8" s="46"/>
      <c r="U8" s="46"/>
      <c r="V8" s="63"/>
      <c r="W8" s="69">
        <f t="shared" si="4"/>
        <v>89740</v>
      </c>
      <c r="X8" s="73"/>
      <c r="Y8" s="71" t="s">
        <v>84</v>
      </c>
      <c r="Z8" s="47"/>
      <c r="AA8" s="47"/>
      <c r="AB8" s="47"/>
      <c r="AC8" s="47"/>
      <c r="AD8" s="47"/>
      <c r="AE8" s="47"/>
      <c r="AF8" s="48">
        <f t="shared" si="1"/>
        <v>0</v>
      </c>
      <c r="AG8" s="49">
        <f t="shared" si="5"/>
        <v>89740</v>
      </c>
      <c r="AH8" s="50"/>
      <c r="AI8" s="51"/>
      <c r="AJ8" s="52"/>
      <c r="AK8" s="52"/>
      <c r="AL8" s="52"/>
      <c r="AM8" s="52"/>
      <c r="AN8" s="53"/>
      <c r="AO8" s="54">
        <f t="shared" si="6"/>
        <v>800</v>
      </c>
      <c r="AP8" s="55"/>
      <c r="AQ8" s="56">
        <f t="shared" si="7"/>
        <v>800</v>
      </c>
      <c r="AR8" s="57">
        <f t="shared" si="8"/>
        <v>88940</v>
      </c>
    </row>
    <row r="9" spans="1:44" s="58" customFormat="1" ht="30" customHeight="1" x14ac:dyDescent="0.3">
      <c r="A9" s="79"/>
      <c r="B9" s="38" t="s">
        <v>278</v>
      </c>
      <c r="C9" s="39" t="s">
        <v>279</v>
      </c>
      <c r="D9" s="40" t="s">
        <v>55</v>
      </c>
      <c r="E9" s="41" t="s">
        <v>77</v>
      </c>
      <c r="F9" s="40" t="s">
        <v>91</v>
      </c>
      <c r="G9" s="41" t="s">
        <v>79</v>
      </c>
      <c r="H9" s="59"/>
      <c r="I9" s="41"/>
      <c r="J9" s="60"/>
      <c r="K9" s="65" t="s">
        <v>67</v>
      </c>
      <c r="L9" s="64" t="s">
        <v>57</v>
      </c>
      <c r="M9" s="76">
        <f t="shared" si="2"/>
        <v>2344500</v>
      </c>
      <c r="N9" s="77" t="str">
        <f t="shared" si="3"/>
        <v>160000</v>
      </c>
      <c r="O9" s="46">
        <v>20000</v>
      </c>
      <c r="P9" s="46">
        <v>209</v>
      </c>
      <c r="Q9" s="45">
        <f t="shared" si="0"/>
        <v>12078.95</v>
      </c>
      <c r="R9" s="61">
        <v>8</v>
      </c>
      <c r="S9" s="46">
        <v>8</v>
      </c>
      <c r="T9" s="46" t="s">
        <v>60</v>
      </c>
      <c r="U9" s="46">
        <v>1</v>
      </c>
      <c r="V9" s="63">
        <v>8</v>
      </c>
      <c r="W9" s="69">
        <f t="shared" si="4"/>
        <v>869680</v>
      </c>
      <c r="X9" s="73"/>
      <c r="Y9" s="71" t="s">
        <v>84</v>
      </c>
      <c r="Z9" s="47"/>
      <c r="AA9" s="47"/>
      <c r="AB9" s="47"/>
      <c r="AC9" s="47"/>
      <c r="AD9" s="47"/>
      <c r="AE9" s="47"/>
      <c r="AF9" s="48">
        <f t="shared" si="1"/>
        <v>0</v>
      </c>
      <c r="AG9" s="49">
        <f t="shared" si="5"/>
        <v>869680</v>
      </c>
      <c r="AH9" s="50"/>
      <c r="AI9" s="51"/>
      <c r="AJ9" s="52"/>
      <c r="AK9" s="52"/>
      <c r="AL9" s="52"/>
      <c r="AM9" s="52"/>
      <c r="AN9" s="53"/>
      <c r="AO9" s="54">
        <f t="shared" si="6"/>
        <v>7820</v>
      </c>
      <c r="AP9" s="66"/>
      <c r="AQ9" s="56">
        <f t="shared" si="7"/>
        <v>7820</v>
      </c>
      <c r="AR9" s="57">
        <f t="shared" si="8"/>
        <v>861860</v>
      </c>
    </row>
    <row r="10" spans="1:44" s="3" customFormat="1" ht="30" customHeight="1" x14ac:dyDescent="0.3">
      <c r="A10" s="79"/>
      <c r="B10" s="38" t="s">
        <v>278</v>
      </c>
      <c r="C10" s="39" t="s">
        <v>279</v>
      </c>
      <c r="D10" s="40" t="s">
        <v>55</v>
      </c>
      <c r="E10" s="41" t="s">
        <v>58</v>
      </c>
      <c r="F10" s="40" t="s">
        <v>92</v>
      </c>
      <c r="G10" s="41" t="s">
        <v>80</v>
      </c>
      <c r="H10" s="59"/>
      <c r="I10" s="41"/>
      <c r="J10" s="60"/>
      <c r="K10" s="65" t="s">
        <v>76</v>
      </c>
      <c r="L10" s="64" t="s">
        <v>59</v>
      </c>
      <c r="M10" s="76">
        <f t="shared" si="2"/>
        <v>0</v>
      </c>
      <c r="N10" s="77" t="str">
        <f t="shared" si="3"/>
        <v>0</v>
      </c>
      <c r="O10" s="46"/>
      <c r="P10" s="46"/>
      <c r="Q10" s="45">
        <f t="shared" si="0"/>
        <v>10320</v>
      </c>
      <c r="R10" s="61">
        <v>8.5</v>
      </c>
      <c r="S10" s="46">
        <v>1</v>
      </c>
      <c r="T10" s="46"/>
      <c r="U10" s="46"/>
      <c r="V10" s="63"/>
      <c r="W10" s="69">
        <f t="shared" si="4"/>
        <v>87720</v>
      </c>
      <c r="X10" s="74"/>
      <c r="Y10" s="71" t="s">
        <v>85</v>
      </c>
      <c r="Z10" s="47"/>
      <c r="AA10" s="47"/>
      <c r="AB10" s="47"/>
      <c r="AC10" s="47"/>
      <c r="AD10" s="47">
        <v>1</v>
      </c>
      <c r="AE10" s="47">
        <v>30</v>
      </c>
      <c r="AF10" s="48">
        <f t="shared" si="1"/>
        <v>7740</v>
      </c>
      <c r="AG10" s="49">
        <f t="shared" si="5"/>
        <v>95460</v>
      </c>
      <c r="AH10" s="50"/>
      <c r="AI10" s="51"/>
      <c r="AJ10" s="52"/>
      <c r="AK10" s="52"/>
      <c r="AL10" s="52"/>
      <c r="AM10" s="52"/>
      <c r="AN10" s="53"/>
      <c r="AO10" s="54">
        <f t="shared" si="6"/>
        <v>850</v>
      </c>
      <c r="AP10" s="66"/>
      <c r="AQ10" s="56">
        <f t="shared" ref="AQ10:AQ19" si="9">AI10+AJ10+AK10+AL10+AM10+AN10+AO10</f>
        <v>850</v>
      </c>
      <c r="AR10" s="57">
        <f t="shared" ref="AR10:AR19" si="10">AG10-AQ10</f>
        <v>94610</v>
      </c>
    </row>
    <row r="11" spans="1:44" s="3" customFormat="1" ht="30" customHeight="1" x14ac:dyDescent="0.3">
      <c r="A11" s="79"/>
      <c r="B11" s="38" t="s">
        <v>278</v>
      </c>
      <c r="C11" s="39" t="s">
        <v>279</v>
      </c>
      <c r="D11" s="40" t="s">
        <v>55</v>
      </c>
      <c r="E11" s="41" t="s">
        <v>58</v>
      </c>
      <c r="F11" s="40" t="s">
        <v>93</v>
      </c>
      <c r="G11" s="41" t="s">
        <v>81</v>
      </c>
      <c r="H11" s="59"/>
      <c r="I11" s="41"/>
      <c r="J11" s="60"/>
      <c r="K11" s="65" t="s">
        <v>76</v>
      </c>
      <c r="L11" s="64" t="s">
        <v>57</v>
      </c>
      <c r="M11" s="76">
        <f t="shared" si="2"/>
        <v>2965360</v>
      </c>
      <c r="N11" s="77" t="str">
        <f t="shared" si="3"/>
        <v>160000</v>
      </c>
      <c r="O11" s="46"/>
      <c r="P11" s="46">
        <v>289</v>
      </c>
      <c r="Q11" s="45">
        <f t="shared" si="0"/>
        <v>10814.4</v>
      </c>
      <c r="R11" s="61">
        <v>8.5</v>
      </c>
      <c r="S11" s="46">
        <v>3</v>
      </c>
      <c r="T11" s="46"/>
      <c r="U11" s="46"/>
      <c r="V11" s="63"/>
      <c r="W11" s="69">
        <f t="shared" si="4"/>
        <v>275760</v>
      </c>
      <c r="X11" s="74"/>
      <c r="Y11" s="71" t="s">
        <v>85</v>
      </c>
      <c r="Z11" s="47"/>
      <c r="AA11" s="47"/>
      <c r="AB11" s="47"/>
      <c r="AC11" s="47"/>
      <c r="AD11" s="47">
        <v>4</v>
      </c>
      <c r="AE11" s="47">
        <v>30</v>
      </c>
      <c r="AF11" s="48">
        <f t="shared" si="1"/>
        <v>24330</v>
      </c>
      <c r="AG11" s="49">
        <f t="shared" si="5"/>
        <v>300090</v>
      </c>
      <c r="AH11" s="50"/>
      <c r="AI11" s="51"/>
      <c r="AJ11" s="52"/>
      <c r="AK11" s="52"/>
      <c r="AL11" s="52"/>
      <c r="AM11" s="52"/>
      <c r="AN11" s="53"/>
      <c r="AO11" s="54">
        <f t="shared" si="6"/>
        <v>2700</v>
      </c>
      <c r="AP11" s="66"/>
      <c r="AQ11" s="56">
        <f t="shared" ref="AQ11:AQ14" si="11">AI11+AJ11+AK11+AL11+AM11+AN11+AO11</f>
        <v>2700</v>
      </c>
      <c r="AR11" s="57">
        <f t="shared" ref="AR11:AR14" si="12">AG11-AQ11</f>
        <v>297390</v>
      </c>
    </row>
    <row r="12" spans="1:44" s="3" customFormat="1" ht="30" customHeight="1" x14ac:dyDescent="0.3">
      <c r="A12" s="79"/>
      <c r="B12" s="38" t="s">
        <v>278</v>
      </c>
      <c r="C12" s="39" t="s">
        <v>279</v>
      </c>
      <c r="D12" s="40" t="s">
        <v>55</v>
      </c>
      <c r="E12" s="41" t="s">
        <v>58</v>
      </c>
      <c r="F12" s="40" t="s">
        <v>94</v>
      </c>
      <c r="G12" s="41" t="s">
        <v>82</v>
      </c>
      <c r="H12" s="59"/>
      <c r="I12" s="41"/>
      <c r="J12" s="60"/>
      <c r="K12" s="65" t="s">
        <v>69</v>
      </c>
      <c r="L12" s="64" t="s">
        <v>59</v>
      </c>
      <c r="M12" s="76">
        <f t="shared" si="2"/>
        <v>0</v>
      </c>
      <c r="N12" s="77" t="str">
        <f t="shared" si="3"/>
        <v>0</v>
      </c>
      <c r="O12" s="46"/>
      <c r="P12" s="46">
        <v>144</v>
      </c>
      <c r="Q12" s="45">
        <f t="shared" si="0"/>
        <v>10320</v>
      </c>
      <c r="R12" s="61">
        <v>12</v>
      </c>
      <c r="S12" s="46">
        <v>1</v>
      </c>
      <c r="T12" s="46"/>
      <c r="U12" s="46"/>
      <c r="V12" s="63"/>
      <c r="W12" s="69">
        <f t="shared" si="4"/>
        <v>123840</v>
      </c>
      <c r="X12" s="74"/>
      <c r="Y12" s="71" t="s">
        <v>85</v>
      </c>
      <c r="Z12" s="47"/>
      <c r="AA12" s="47"/>
      <c r="AB12" s="47"/>
      <c r="AC12" s="47"/>
      <c r="AD12" s="47"/>
      <c r="AE12" s="47"/>
      <c r="AF12" s="48">
        <f t="shared" si="1"/>
        <v>0</v>
      </c>
      <c r="AG12" s="49">
        <f t="shared" si="5"/>
        <v>123840</v>
      </c>
      <c r="AH12" s="50"/>
      <c r="AI12" s="51"/>
      <c r="AJ12" s="52"/>
      <c r="AK12" s="52"/>
      <c r="AL12" s="52"/>
      <c r="AM12" s="52"/>
      <c r="AN12" s="53"/>
      <c r="AO12" s="54">
        <f t="shared" si="6"/>
        <v>1110</v>
      </c>
      <c r="AP12" s="66"/>
      <c r="AQ12" s="56">
        <f t="shared" si="11"/>
        <v>1110</v>
      </c>
      <c r="AR12" s="57">
        <f t="shared" si="12"/>
        <v>122730</v>
      </c>
    </row>
    <row r="13" spans="1:44" s="3" customFormat="1" ht="30" customHeight="1" x14ac:dyDescent="0.3">
      <c r="A13" s="79"/>
      <c r="B13" s="38" t="s">
        <v>278</v>
      </c>
      <c r="C13" s="39" t="s">
        <v>279</v>
      </c>
      <c r="D13" s="40" t="s">
        <v>55</v>
      </c>
      <c r="E13" s="41" t="s">
        <v>58</v>
      </c>
      <c r="F13" s="40" t="s">
        <v>95</v>
      </c>
      <c r="G13" s="41" t="s">
        <v>83</v>
      </c>
      <c r="H13" s="59"/>
      <c r="I13" s="41"/>
      <c r="J13" s="60"/>
      <c r="K13" s="65" t="s">
        <v>69</v>
      </c>
      <c r="L13" s="64" t="s">
        <v>57</v>
      </c>
      <c r="M13" s="76">
        <f t="shared" si="2"/>
        <v>1477550</v>
      </c>
      <c r="N13" s="77" t="str">
        <f t="shared" si="3"/>
        <v>100000</v>
      </c>
      <c r="O13" s="46"/>
      <c r="P13" s="46">
        <v>144</v>
      </c>
      <c r="Q13" s="45">
        <f t="shared" si="0"/>
        <v>10955.210000000001</v>
      </c>
      <c r="R13" s="61">
        <v>8.5</v>
      </c>
      <c r="S13" s="46">
        <v>2</v>
      </c>
      <c r="T13" s="46"/>
      <c r="U13" s="46"/>
      <c r="V13" s="63"/>
      <c r="W13" s="69">
        <f t="shared" si="4"/>
        <v>186230</v>
      </c>
      <c r="X13" s="74"/>
      <c r="Y13" s="71" t="s">
        <v>85</v>
      </c>
      <c r="Z13" s="47"/>
      <c r="AA13" s="47"/>
      <c r="AB13" s="47"/>
      <c r="AC13" s="47"/>
      <c r="AD13" s="47">
        <v>3</v>
      </c>
      <c r="AE13" s="47">
        <v>0</v>
      </c>
      <c r="AF13" s="48">
        <f t="shared" si="1"/>
        <v>16430</v>
      </c>
      <c r="AG13" s="49">
        <f t="shared" si="5"/>
        <v>202660</v>
      </c>
      <c r="AH13" s="50"/>
      <c r="AI13" s="51"/>
      <c r="AJ13" s="52"/>
      <c r="AK13" s="52"/>
      <c r="AL13" s="52"/>
      <c r="AM13" s="52"/>
      <c r="AN13" s="53"/>
      <c r="AO13" s="54">
        <f t="shared" si="6"/>
        <v>1820</v>
      </c>
      <c r="AP13" s="66"/>
      <c r="AQ13" s="56">
        <f t="shared" si="11"/>
        <v>1820</v>
      </c>
      <c r="AR13" s="57">
        <f t="shared" si="12"/>
        <v>200840</v>
      </c>
    </row>
    <row r="14" spans="1:44" s="3" customFormat="1" ht="50.1" customHeight="1" x14ac:dyDescent="0.3">
      <c r="A14" s="79">
        <v>1</v>
      </c>
      <c r="B14" s="78"/>
      <c r="C14" s="112"/>
      <c r="D14" s="81"/>
      <c r="E14" s="82"/>
      <c r="F14" s="79"/>
      <c r="G14" s="113"/>
      <c r="I14" s="114"/>
      <c r="J14" s="83"/>
      <c r="K14" s="84"/>
      <c r="L14" s="85"/>
      <c r="M14" s="86">
        <f t="shared" si="2"/>
        <v>0</v>
      </c>
      <c r="N14" s="87" t="b">
        <f t="shared" si="3"/>
        <v>0</v>
      </c>
      <c r="O14" s="88"/>
      <c r="P14" s="88"/>
      <c r="Q14" s="89">
        <f t="shared" si="0"/>
        <v>0</v>
      </c>
      <c r="R14" s="90"/>
      <c r="S14" s="88"/>
      <c r="T14" s="88"/>
      <c r="U14" s="88"/>
      <c r="V14" s="91"/>
      <c r="W14" s="92">
        <f t="shared" si="4"/>
        <v>0</v>
      </c>
      <c r="X14" s="93"/>
      <c r="Y14" s="94"/>
      <c r="Z14" s="95"/>
      <c r="AA14" s="95"/>
      <c r="AB14" s="95"/>
      <c r="AC14" s="95"/>
      <c r="AD14" s="95"/>
      <c r="AE14" s="95"/>
      <c r="AF14" s="96">
        <f t="shared" si="1"/>
        <v>0</v>
      </c>
      <c r="AG14" s="97">
        <f t="shared" si="5"/>
        <v>0</v>
      </c>
      <c r="AH14" s="30"/>
      <c r="AI14" s="24"/>
      <c r="AJ14" s="2"/>
      <c r="AK14" s="2"/>
      <c r="AL14" s="2"/>
      <c r="AM14" s="2"/>
      <c r="AN14" s="28"/>
      <c r="AO14" s="35">
        <f t="shared" si="6"/>
        <v>0</v>
      </c>
      <c r="AP14" s="29"/>
      <c r="AQ14" s="36">
        <f t="shared" si="11"/>
        <v>0</v>
      </c>
      <c r="AR14" s="37">
        <f t="shared" si="12"/>
        <v>0</v>
      </c>
    </row>
    <row r="15" spans="1:44" s="3" customFormat="1" ht="50.1" customHeight="1" x14ac:dyDescent="0.3">
      <c r="A15" s="79">
        <v>2</v>
      </c>
      <c r="B15" s="79"/>
      <c r="C15" s="80"/>
      <c r="D15" s="81"/>
      <c r="E15" s="82"/>
      <c r="F15" s="79"/>
      <c r="G15" s="115"/>
      <c r="H15" s="79"/>
      <c r="I15" s="82"/>
      <c r="J15" s="83"/>
      <c r="K15" s="84"/>
      <c r="L15" s="85"/>
      <c r="M15" s="86">
        <f t="shared" si="2"/>
        <v>0</v>
      </c>
      <c r="N15" s="87" t="b">
        <f t="shared" si="3"/>
        <v>0</v>
      </c>
      <c r="O15" s="88"/>
      <c r="P15" s="88"/>
      <c r="Q15" s="89">
        <f t="shared" ref="Q15:Q23" si="13">IFERROR(ROUNDUP(IF(AND(OR($K15="2유형",$K15="1인 당직",$K15="2인 당직"),$L15="미만"),"10,320",(($M15+$N15+$O15)/$P15)),2),0)</f>
        <v>0</v>
      </c>
      <c r="R15" s="90"/>
      <c r="S15" s="88"/>
      <c r="T15" s="88"/>
      <c r="U15" s="88"/>
      <c r="V15" s="91"/>
      <c r="W15" s="92">
        <f t="shared" si="4"/>
        <v>0</v>
      </c>
      <c r="X15" s="93"/>
      <c r="Y15" s="94"/>
      <c r="Z15" s="95"/>
      <c r="AA15" s="95"/>
      <c r="AB15" s="95"/>
      <c r="AC15" s="95"/>
      <c r="AD15" s="95"/>
      <c r="AE15" s="95"/>
      <c r="AF15" s="96">
        <f t="shared" si="1"/>
        <v>0</v>
      </c>
      <c r="AG15" s="97">
        <f t="shared" si="5"/>
        <v>0</v>
      </c>
      <c r="AH15" s="30"/>
      <c r="AI15" s="24"/>
      <c r="AJ15" s="2"/>
      <c r="AK15" s="2"/>
      <c r="AL15" s="2"/>
      <c r="AM15" s="2"/>
      <c r="AN15" s="28"/>
      <c r="AO15" s="35">
        <f t="shared" si="6"/>
        <v>0</v>
      </c>
      <c r="AP15" s="29"/>
      <c r="AQ15" s="36">
        <f t="shared" si="9"/>
        <v>0</v>
      </c>
      <c r="AR15" s="37">
        <f t="shared" si="10"/>
        <v>0</v>
      </c>
    </row>
    <row r="16" spans="1:44" s="3" customFormat="1" ht="50.1" customHeight="1" x14ac:dyDescent="0.3">
      <c r="A16" s="79">
        <v>3</v>
      </c>
      <c r="B16" s="79"/>
      <c r="C16" s="80"/>
      <c r="D16" s="81"/>
      <c r="E16" s="82"/>
      <c r="F16" s="79"/>
      <c r="G16" s="82"/>
      <c r="H16" s="79"/>
      <c r="I16" s="82"/>
      <c r="J16" s="83"/>
      <c r="K16" s="84"/>
      <c r="L16" s="85"/>
      <c r="M16" s="86">
        <f t="shared" si="2"/>
        <v>0</v>
      </c>
      <c r="N16" s="87" t="b">
        <f t="shared" si="3"/>
        <v>0</v>
      </c>
      <c r="O16" s="88"/>
      <c r="P16" s="88"/>
      <c r="Q16" s="89">
        <f t="shared" si="13"/>
        <v>0</v>
      </c>
      <c r="R16" s="90"/>
      <c r="S16" s="88"/>
      <c r="T16" s="88"/>
      <c r="U16" s="88"/>
      <c r="V16" s="91"/>
      <c r="W16" s="92">
        <f t="shared" si="4"/>
        <v>0</v>
      </c>
      <c r="X16" s="93"/>
      <c r="Y16" s="94"/>
      <c r="Z16" s="95"/>
      <c r="AA16" s="95"/>
      <c r="AB16" s="95"/>
      <c r="AC16" s="95"/>
      <c r="AD16" s="95"/>
      <c r="AE16" s="95"/>
      <c r="AF16" s="96">
        <f t="shared" si="1"/>
        <v>0</v>
      </c>
      <c r="AG16" s="97">
        <f t="shared" si="5"/>
        <v>0</v>
      </c>
      <c r="AH16" s="30"/>
      <c r="AI16" s="24"/>
      <c r="AJ16" s="2"/>
      <c r="AK16" s="2"/>
      <c r="AL16" s="2"/>
      <c r="AM16" s="2"/>
      <c r="AN16" s="28"/>
      <c r="AO16" s="35">
        <f t="shared" si="6"/>
        <v>0</v>
      </c>
      <c r="AP16" s="29"/>
      <c r="AQ16" s="36">
        <f t="shared" ref="AQ16" si="14">AI16+AJ16+AK16+AL16+AM16+AN16+AO16</f>
        <v>0</v>
      </c>
      <c r="AR16" s="37">
        <f t="shared" ref="AR16" si="15">AG16-AQ16</f>
        <v>0</v>
      </c>
    </row>
    <row r="17" spans="1:44" s="3" customFormat="1" ht="50.1" customHeight="1" x14ac:dyDescent="0.3">
      <c r="A17" s="79">
        <v>4</v>
      </c>
      <c r="B17" s="79"/>
      <c r="C17" s="80"/>
      <c r="D17" s="81"/>
      <c r="E17" s="82"/>
      <c r="F17" s="79"/>
      <c r="G17" s="82"/>
      <c r="H17" s="79"/>
      <c r="I17" s="82"/>
      <c r="J17" s="83"/>
      <c r="K17" s="84"/>
      <c r="L17" s="85"/>
      <c r="M17" s="86">
        <f t="shared" si="2"/>
        <v>0</v>
      </c>
      <c r="N17" s="87" t="b">
        <f t="shared" si="3"/>
        <v>0</v>
      </c>
      <c r="O17" s="88"/>
      <c r="P17" s="88"/>
      <c r="Q17" s="89">
        <f t="shared" si="13"/>
        <v>0</v>
      </c>
      <c r="R17" s="90"/>
      <c r="S17" s="88"/>
      <c r="T17" s="88"/>
      <c r="U17" s="88"/>
      <c r="V17" s="91"/>
      <c r="W17" s="92">
        <f t="shared" si="4"/>
        <v>0</v>
      </c>
      <c r="X17" s="93"/>
      <c r="Y17" s="94"/>
      <c r="Z17" s="95"/>
      <c r="AA17" s="95"/>
      <c r="AB17" s="95"/>
      <c r="AC17" s="95"/>
      <c r="AD17" s="95"/>
      <c r="AE17" s="95"/>
      <c r="AF17" s="96">
        <f t="shared" si="1"/>
        <v>0</v>
      </c>
      <c r="AG17" s="97">
        <f t="shared" si="5"/>
        <v>0</v>
      </c>
      <c r="AH17" s="30"/>
      <c r="AI17" s="24"/>
      <c r="AJ17" s="2"/>
      <c r="AK17" s="2"/>
      <c r="AL17" s="2"/>
      <c r="AM17" s="2"/>
      <c r="AN17" s="28"/>
      <c r="AO17" s="35">
        <f t="shared" si="6"/>
        <v>0</v>
      </c>
      <c r="AP17" s="29"/>
      <c r="AQ17" s="36">
        <f t="shared" ref="AQ17:AQ18" si="16">AI17+AJ17+AK17+AL17+AM17+AN17+AO17</f>
        <v>0</v>
      </c>
      <c r="AR17" s="37">
        <f t="shared" ref="AR17:AR18" si="17">AG17-AQ17</f>
        <v>0</v>
      </c>
    </row>
    <row r="18" spans="1:44" s="3" customFormat="1" ht="50.1" customHeight="1" x14ac:dyDescent="0.3">
      <c r="A18" s="79">
        <v>5</v>
      </c>
      <c r="B18" s="79"/>
      <c r="C18" s="80"/>
      <c r="D18" s="81"/>
      <c r="E18" s="82"/>
      <c r="F18" s="79"/>
      <c r="G18" s="82"/>
      <c r="H18" s="79"/>
      <c r="I18" s="82"/>
      <c r="J18" s="83"/>
      <c r="K18" s="84"/>
      <c r="L18" s="85"/>
      <c r="M18" s="86">
        <f t="shared" si="2"/>
        <v>0</v>
      </c>
      <c r="N18" s="87" t="b">
        <f t="shared" si="3"/>
        <v>0</v>
      </c>
      <c r="O18" s="88"/>
      <c r="P18" s="88"/>
      <c r="Q18" s="89">
        <f t="shared" si="13"/>
        <v>0</v>
      </c>
      <c r="R18" s="90"/>
      <c r="S18" s="88"/>
      <c r="T18" s="88"/>
      <c r="U18" s="88"/>
      <c r="V18" s="91"/>
      <c r="W18" s="92">
        <f t="shared" si="4"/>
        <v>0</v>
      </c>
      <c r="X18" s="93"/>
      <c r="Y18" s="94"/>
      <c r="Z18" s="95"/>
      <c r="AA18" s="95"/>
      <c r="AB18" s="95"/>
      <c r="AC18" s="95"/>
      <c r="AD18" s="95"/>
      <c r="AE18" s="95"/>
      <c r="AF18" s="96">
        <f t="shared" si="1"/>
        <v>0</v>
      </c>
      <c r="AG18" s="97">
        <f t="shared" si="5"/>
        <v>0</v>
      </c>
      <c r="AH18" s="30"/>
      <c r="AI18" s="24"/>
      <c r="AJ18" s="2"/>
      <c r="AK18" s="2"/>
      <c r="AL18" s="2"/>
      <c r="AM18" s="2"/>
      <c r="AN18" s="28"/>
      <c r="AO18" s="35">
        <f t="shared" si="6"/>
        <v>0</v>
      </c>
      <c r="AP18" s="29"/>
      <c r="AQ18" s="36">
        <f t="shared" si="16"/>
        <v>0</v>
      </c>
      <c r="AR18" s="37">
        <f t="shared" si="17"/>
        <v>0</v>
      </c>
    </row>
    <row r="19" spans="1:44" s="3" customFormat="1" ht="50.1" customHeight="1" x14ac:dyDescent="0.3">
      <c r="A19" s="79">
        <v>6</v>
      </c>
      <c r="B19" s="79"/>
      <c r="C19" s="80"/>
      <c r="D19" s="81"/>
      <c r="E19" s="82"/>
      <c r="F19" s="79"/>
      <c r="G19" s="82"/>
      <c r="H19" s="79"/>
      <c r="I19" s="82"/>
      <c r="J19" s="83"/>
      <c r="K19" s="84"/>
      <c r="L19" s="85"/>
      <c r="M19" s="86">
        <f t="shared" si="2"/>
        <v>0</v>
      </c>
      <c r="N19" s="87" t="b">
        <f t="shared" si="3"/>
        <v>0</v>
      </c>
      <c r="O19" s="88"/>
      <c r="P19" s="88"/>
      <c r="Q19" s="89">
        <f t="shared" si="13"/>
        <v>0</v>
      </c>
      <c r="R19" s="90"/>
      <c r="S19" s="88"/>
      <c r="T19" s="88"/>
      <c r="U19" s="88"/>
      <c r="V19" s="91"/>
      <c r="W19" s="92">
        <f t="shared" si="4"/>
        <v>0</v>
      </c>
      <c r="X19" s="93"/>
      <c r="Y19" s="94"/>
      <c r="Z19" s="95"/>
      <c r="AA19" s="95"/>
      <c r="AB19" s="95"/>
      <c r="AC19" s="95"/>
      <c r="AD19" s="95"/>
      <c r="AE19" s="95"/>
      <c r="AF19" s="96">
        <f t="shared" si="1"/>
        <v>0</v>
      </c>
      <c r="AG19" s="97">
        <f t="shared" si="5"/>
        <v>0</v>
      </c>
      <c r="AH19" s="30"/>
      <c r="AI19" s="24"/>
      <c r="AJ19" s="2"/>
      <c r="AK19" s="2"/>
      <c r="AL19" s="2"/>
      <c r="AM19" s="2"/>
      <c r="AN19" s="28"/>
      <c r="AO19" s="35">
        <f t="shared" si="6"/>
        <v>0</v>
      </c>
      <c r="AP19" s="29"/>
      <c r="AQ19" s="36">
        <f t="shared" si="9"/>
        <v>0</v>
      </c>
      <c r="AR19" s="37">
        <f t="shared" si="10"/>
        <v>0</v>
      </c>
    </row>
    <row r="20" spans="1:44" s="3" customFormat="1" ht="50.1" customHeight="1" x14ac:dyDescent="0.3">
      <c r="A20" s="79">
        <v>7</v>
      </c>
      <c r="B20" s="79"/>
      <c r="C20" s="80"/>
      <c r="D20" s="81"/>
      <c r="E20" s="82"/>
      <c r="F20" s="79"/>
      <c r="G20" s="82"/>
      <c r="H20" s="79"/>
      <c r="I20" s="82"/>
      <c r="J20" s="83"/>
      <c r="K20" s="84"/>
      <c r="L20" s="85"/>
      <c r="M20" s="86">
        <f t="shared" si="2"/>
        <v>0</v>
      </c>
      <c r="N20" s="87" t="b">
        <f t="shared" si="3"/>
        <v>0</v>
      </c>
      <c r="O20" s="88"/>
      <c r="P20" s="88"/>
      <c r="Q20" s="89">
        <f t="shared" si="13"/>
        <v>0</v>
      </c>
      <c r="R20" s="90"/>
      <c r="S20" s="88"/>
      <c r="T20" s="88"/>
      <c r="U20" s="88"/>
      <c r="V20" s="91"/>
      <c r="W20" s="92">
        <f t="shared" si="4"/>
        <v>0</v>
      </c>
      <c r="X20" s="93"/>
      <c r="Y20" s="94"/>
      <c r="Z20" s="95"/>
      <c r="AA20" s="95"/>
      <c r="AB20" s="95"/>
      <c r="AC20" s="95"/>
      <c r="AD20" s="95"/>
      <c r="AE20" s="95"/>
      <c r="AF20" s="96">
        <f t="shared" ref="AF20:AF23" si="18">ROUNDDOWN(IF($Y20="o",($Q20*AB20*1)+($Q20*$AC20/60*1)+($Q20*AD20*0.5)+($Q20*$AE20/60*0.5),($Q20*$Z20*1)+($Q20*$AA20/60*1)+($Q20*$AB20*1.5)+($Q20*$AC20/60*1.5)+($Q20*$AD20*0.5)+($Q20*$AE20/60*0.5)),-1)</f>
        <v>0</v>
      </c>
      <c r="AG20" s="97">
        <f t="shared" si="5"/>
        <v>0</v>
      </c>
      <c r="AH20" s="30"/>
      <c r="AI20" s="24"/>
      <c r="AJ20" s="2"/>
      <c r="AK20" s="2"/>
      <c r="AL20" s="2"/>
      <c r="AM20" s="2"/>
      <c r="AN20" s="28"/>
      <c r="AO20" s="35">
        <f t="shared" si="6"/>
        <v>0</v>
      </c>
      <c r="AP20" s="29"/>
      <c r="AQ20" s="36">
        <f t="shared" ref="AQ20:AQ23" si="19">AI20+AJ20+AK20+AL20+AM20+AN20+AO20</f>
        <v>0</v>
      </c>
      <c r="AR20" s="37">
        <f t="shared" ref="AR20:AR23" si="20">AG20-AQ20</f>
        <v>0</v>
      </c>
    </row>
    <row r="21" spans="1:44" s="3" customFormat="1" ht="50.1" customHeight="1" x14ac:dyDescent="0.3">
      <c r="A21" s="79">
        <v>8</v>
      </c>
      <c r="B21" s="79"/>
      <c r="C21" s="80"/>
      <c r="D21" s="81"/>
      <c r="E21" s="82"/>
      <c r="F21" s="79"/>
      <c r="G21" s="82"/>
      <c r="H21" s="79"/>
      <c r="I21" s="82"/>
      <c r="J21" s="83"/>
      <c r="K21" s="84"/>
      <c r="L21" s="85"/>
      <c r="M21" s="86">
        <f t="shared" si="2"/>
        <v>0</v>
      </c>
      <c r="N21" s="87" t="b">
        <f t="shared" si="3"/>
        <v>0</v>
      </c>
      <c r="O21" s="88"/>
      <c r="P21" s="88"/>
      <c r="Q21" s="89">
        <f t="shared" si="13"/>
        <v>0</v>
      </c>
      <c r="R21" s="90"/>
      <c r="S21" s="88"/>
      <c r="T21" s="88"/>
      <c r="U21" s="88"/>
      <c r="V21" s="91"/>
      <c r="W21" s="92">
        <f t="shared" si="4"/>
        <v>0</v>
      </c>
      <c r="X21" s="93"/>
      <c r="Y21" s="94"/>
      <c r="Z21" s="95"/>
      <c r="AA21" s="95"/>
      <c r="AB21" s="95"/>
      <c r="AC21" s="95"/>
      <c r="AD21" s="95"/>
      <c r="AE21" s="95"/>
      <c r="AF21" s="96">
        <f t="shared" si="18"/>
        <v>0</v>
      </c>
      <c r="AG21" s="97">
        <f t="shared" si="5"/>
        <v>0</v>
      </c>
      <c r="AH21" s="30"/>
      <c r="AI21" s="24"/>
      <c r="AJ21" s="2"/>
      <c r="AK21" s="2"/>
      <c r="AL21" s="2"/>
      <c r="AM21" s="2"/>
      <c r="AN21" s="28"/>
      <c r="AO21" s="35">
        <f t="shared" si="6"/>
        <v>0</v>
      </c>
      <c r="AP21" s="29"/>
      <c r="AQ21" s="36">
        <f t="shared" si="19"/>
        <v>0</v>
      </c>
      <c r="AR21" s="37">
        <f t="shared" si="20"/>
        <v>0</v>
      </c>
    </row>
    <row r="22" spans="1:44" s="3" customFormat="1" ht="50.1" customHeight="1" x14ac:dyDescent="0.3">
      <c r="A22" s="79">
        <v>9</v>
      </c>
      <c r="B22" s="79"/>
      <c r="C22" s="80"/>
      <c r="D22" s="81"/>
      <c r="E22" s="82"/>
      <c r="F22" s="79"/>
      <c r="G22" s="82"/>
      <c r="H22" s="79"/>
      <c r="I22" s="82"/>
      <c r="J22" s="83"/>
      <c r="K22" s="84"/>
      <c r="L22" s="85"/>
      <c r="M22" s="86">
        <f t="shared" si="2"/>
        <v>0</v>
      </c>
      <c r="N22" s="87" t="b">
        <f t="shared" si="3"/>
        <v>0</v>
      </c>
      <c r="O22" s="88"/>
      <c r="P22" s="88"/>
      <c r="Q22" s="89">
        <f t="shared" si="13"/>
        <v>0</v>
      </c>
      <c r="R22" s="90"/>
      <c r="S22" s="88"/>
      <c r="T22" s="88"/>
      <c r="U22" s="88"/>
      <c r="V22" s="91"/>
      <c r="W22" s="92">
        <f t="shared" si="4"/>
        <v>0</v>
      </c>
      <c r="X22" s="93"/>
      <c r="Y22" s="94"/>
      <c r="Z22" s="95"/>
      <c r="AA22" s="95"/>
      <c r="AB22" s="95"/>
      <c r="AC22" s="95"/>
      <c r="AD22" s="95"/>
      <c r="AE22" s="95"/>
      <c r="AF22" s="96">
        <f t="shared" si="18"/>
        <v>0</v>
      </c>
      <c r="AG22" s="97">
        <f t="shared" si="5"/>
        <v>0</v>
      </c>
      <c r="AH22" s="30"/>
      <c r="AI22" s="24"/>
      <c r="AJ22" s="2"/>
      <c r="AK22" s="2"/>
      <c r="AL22" s="2"/>
      <c r="AM22" s="2"/>
      <c r="AN22" s="28"/>
      <c r="AO22" s="35">
        <f t="shared" si="6"/>
        <v>0</v>
      </c>
      <c r="AP22" s="29"/>
      <c r="AQ22" s="36">
        <f t="shared" si="19"/>
        <v>0</v>
      </c>
      <c r="AR22" s="37">
        <f t="shared" si="20"/>
        <v>0</v>
      </c>
    </row>
    <row r="23" spans="1:44" s="3" customFormat="1" ht="50.1" customHeight="1" x14ac:dyDescent="0.3">
      <c r="A23" s="79">
        <v>10</v>
      </c>
      <c r="B23" s="79"/>
      <c r="C23" s="80"/>
      <c r="D23" s="81"/>
      <c r="E23" s="82"/>
      <c r="F23" s="79"/>
      <c r="G23" s="82"/>
      <c r="H23" s="79"/>
      <c r="I23" s="82"/>
      <c r="J23" s="83"/>
      <c r="K23" s="84"/>
      <c r="L23" s="85"/>
      <c r="M23" s="86">
        <f t="shared" si="2"/>
        <v>0</v>
      </c>
      <c r="N23" s="87" t="b">
        <f t="shared" si="3"/>
        <v>0</v>
      </c>
      <c r="O23" s="88"/>
      <c r="P23" s="88"/>
      <c r="Q23" s="89">
        <f t="shared" si="13"/>
        <v>0</v>
      </c>
      <c r="R23" s="90"/>
      <c r="S23" s="88"/>
      <c r="T23" s="88"/>
      <c r="U23" s="88"/>
      <c r="V23" s="91"/>
      <c r="W23" s="92">
        <f t="shared" si="4"/>
        <v>0</v>
      </c>
      <c r="X23" s="93"/>
      <c r="Y23" s="94"/>
      <c r="Z23" s="95"/>
      <c r="AA23" s="95"/>
      <c r="AB23" s="95"/>
      <c r="AC23" s="95"/>
      <c r="AD23" s="95"/>
      <c r="AE23" s="95"/>
      <c r="AF23" s="96">
        <f t="shared" si="18"/>
        <v>0</v>
      </c>
      <c r="AG23" s="97">
        <f t="shared" si="5"/>
        <v>0</v>
      </c>
      <c r="AH23" s="30"/>
      <c r="AI23" s="24"/>
      <c r="AJ23" s="2"/>
      <c r="AK23" s="2"/>
      <c r="AL23" s="2"/>
      <c r="AM23" s="2"/>
      <c r="AN23" s="28"/>
      <c r="AO23" s="35">
        <f t="shared" si="6"/>
        <v>0</v>
      </c>
      <c r="AP23" s="29"/>
      <c r="AQ23" s="36">
        <f t="shared" si="19"/>
        <v>0</v>
      </c>
      <c r="AR23" s="37">
        <f t="shared" si="20"/>
        <v>0</v>
      </c>
    </row>
    <row r="24" spans="1:44" s="5" customFormat="1" ht="19.5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44" s="5" customFormat="1" ht="19.5" x14ac:dyDescent="0.3">
      <c r="A25" s="22" t="s">
        <v>34</v>
      </c>
      <c r="B25" s="4"/>
      <c r="C25" s="4"/>
      <c r="D25" s="4"/>
      <c r="E25" s="4"/>
      <c r="F25" s="4"/>
      <c r="G25" s="4"/>
      <c r="H25" s="4"/>
      <c r="I25" s="4"/>
    </row>
    <row r="26" spans="1:44" s="5" customFormat="1" x14ac:dyDescent="0.3">
      <c r="A26" s="12" t="s">
        <v>31</v>
      </c>
      <c r="B26" s="13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 spans="1:44" s="5" customFormat="1" x14ac:dyDescent="0.3">
      <c r="A27" s="15" t="s">
        <v>28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44" s="5" customFormat="1" x14ac:dyDescent="0.3">
      <c r="A28" s="15" t="s">
        <v>32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 spans="1:44" s="5" customFormat="1" x14ac:dyDescent="0.3">
      <c r="A29" s="23" t="s">
        <v>35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spans="1:44" s="5" customFormat="1" x14ac:dyDescent="0.3">
      <c r="A30" s="16" t="s">
        <v>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 spans="1:44" s="5" customFormat="1" x14ac:dyDescent="0.3">
      <c r="A31" s="16" t="s">
        <v>29</v>
      </c>
      <c r="B31" s="17"/>
      <c r="C31" s="18"/>
      <c r="D31" s="18"/>
      <c r="E31" s="18"/>
      <c r="F31" s="19"/>
      <c r="G31" s="19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</row>
    <row r="32" spans="1:44" s="5" customFormat="1" ht="19.5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s="5" customFormat="1" ht="19.5" x14ac:dyDescent="0.3">
      <c r="A33" s="4"/>
      <c r="B33" s="4"/>
      <c r="C33" s="4"/>
      <c r="D33" s="4"/>
      <c r="E33" s="4"/>
      <c r="F33" s="4"/>
      <c r="G33" s="4"/>
      <c r="H33" s="4"/>
      <c r="I33" s="4"/>
    </row>
    <row r="37" spans="1:9" ht="20.25" x14ac:dyDescent="0.3">
      <c r="A37" s="20"/>
    </row>
    <row r="38" spans="1:9" ht="20.25" x14ac:dyDescent="0.3">
      <c r="A38" s="21"/>
    </row>
    <row r="39" spans="1:9" ht="20.25" x14ac:dyDescent="0.3">
      <c r="A39" s="21"/>
    </row>
    <row r="40" spans="1:9" ht="20.25" x14ac:dyDescent="0.3">
      <c r="A40" s="21"/>
    </row>
    <row r="41" spans="1:9" ht="20.25" x14ac:dyDescent="0.3">
      <c r="A41" s="21"/>
    </row>
    <row r="42" spans="1:9" ht="20.25" x14ac:dyDescent="0.3">
      <c r="A42" s="21"/>
    </row>
    <row r="43" spans="1:9" ht="20.25" x14ac:dyDescent="0.3">
      <c r="A43" s="21"/>
    </row>
    <row r="44" spans="1:9" ht="20.25" x14ac:dyDescent="0.3">
      <c r="A44" s="21"/>
    </row>
    <row r="45" spans="1:9" ht="20.25" x14ac:dyDescent="0.3">
      <c r="A45" s="21"/>
    </row>
    <row r="46" spans="1:9" ht="20.25" x14ac:dyDescent="0.3">
      <c r="A46" s="21"/>
    </row>
    <row r="47" spans="1:9" ht="20.25" x14ac:dyDescent="0.3">
      <c r="A47" s="21"/>
    </row>
    <row r="48" spans="1:9" ht="20.25" x14ac:dyDescent="0.3">
      <c r="A48" s="21"/>
    </row>
    <row r="49" spans="1:1" ht="20.25" x14ac:dyDescent="0.3">
      <c r="A49" s="21"/>
    </row>
    <row r="50" spans="1:1" ht="20.25" x14ac:dyDescent="0.3">
      <c r="A50" s="21"/>
    </row>
    <row r="51" spans="1:1" ht="20.25" x14ac:dyDescent="0.3">
      <c r="A51" s="21"/>
    </row>
    <row r="52" spans="1:1" ht="20.25" x14ac:dyDescent="0.3">
      <c r="A52" s="21"/>
    </row>
    <row r="53" spans="1:1" ht="20.25" x14ac:dyDescent="0.3">
      <c r="A53" s="21"/>
    </row>
    <row r="54" spans="1:1" ht="20.25" x14ac:dyDescent="0.3">
      <c r="A54" s="21"/>
    </row>
    <row r="55" spans="1:1" ht="20.25" x14ac:dyDescent="0.3">
      <c r="A55" s="21"/>
    </row>
    <row r="56" spans="1:1" ht="20.25" x14ac:dyDescent="0.3">
      <c r="A56" s="21"/>
    </row>
    <row r="57" spans="1:1" ht="20.25" x14ac:dyDescent="0.3">
      <c r="A57" s="21"/>
    </row>
    <row r="58" spans="1:1" ht="20.25" x14ac:dyDescent="0.3">
      <c r="A58" s="21"/>
    </row>
    <row r="59" spans="1:1" ht="20.25" x14ac:dyDescent="0.3">
      <c r="A59" s="21"/>
    </row>
    <row r="60" spans="1:1" ht="20.25" x14ac:dyDescent="0.3">
      <c r="A60" s="21"/>
    </row>
    <row r="61" spans="1:1" ht="20.25" x14ac:dyDescent="0.3">
      <c r="A61" s="21"/>
    </row>
    <row r="62" spans="1:1" ht="20.25" x14ac:dyDescent="0.3">
      <c r="A62" s="21"/>
    </row>
    <row r="63" spans="1:1" ht="20.25" x14ac:dyDescent="0.3">
      <c r="A63" s="21"/>
    </row>
    <row r="64" spans="1:1" ht="20.25" x14ac:dyDescent="0.3">
      <c r="A64" s="21"/>
    </row>
    <row r="65" spans="1:1" ht="20.25" x14ac:dyDescent="0.3">
      <c r="A65" s="21"/>
    </row>
    <row r="66" spans="1:1" ht="20.25" x14ac:dyDescent="0.3">
      <c r="A66" s="21"/>
    </row>
    <row r="67" spans="1:1" ht="20.25" x14ac:dyDescent="0.3">
      <c r="A67" s="21"/>
    </row>
    <row r="68" spans="1:1" ht="20.25" x14ac:dyDescent="0.3">
      <c r="A68" s="21"/>
    </row>
    <row r="69" spans="1:1" ht="20.25" x14ac:dyDescent="0.3">
      <c r="A69" s="21"/>
    </row>
    <row r="64891" spans="1:4" ht="33.75" customHeight="1" x14ac:dyDescent="0.3">
      <c r="A64891" s="6" t="s">
        <v>17</v>
      </c>
      <c r="B64891" s="6"/>
      <c r="C64891" s="6"/>
      <c r="D64891" s="1" t="s">
        <v>18</v>
      </c>
    </row>
    <row r="64892" spans="1:4" ht="33.75" customHeight="1" x14ac:dyDescent="0.3">
      <c r="A64892" s="7" t="s">
        <v>19</v>
      </c>
      <c r="B64892" s="7"/>
      <c r="C64892" s="7"/>
      <c r="D64892" s="1" t="s">
        <v>20</v>
      </c>
    </row>
    <row r="64893" spans="1:4" ht="33.75" customHeight="1" x14ac:dyDescent="0.3">
      <c r="A64893" s="8" t="s">
        <v>21</v>
      </c>
      <c r="B64893" s="8"/>
      <c r="C64893" s="8"/>
      <c r="D64893" s="1" t="s">
        <v>22</v>
      </c>
    </row>
    <row r="64894" spans="1:4" ht="33.75" customHeight="1" x14ac:dyDescent="0.3">
      <c r="A64894" s="9" t="s">
        <v>23</v>
      </c>
      <c r="B64894" s="9"/>
      <c r="C64894" s="9"/>
      <c r="D64894" s="1" t="s">
        <v>24</v>
      </c>
    </row>
    <row r="64895" spans="1:4" ht="33.75" customHeight="1" x14ac:dyDescent="0.3">
      <c r="A64895" s="10" t="s">
        <v>25</v>
      </c>
      <c r="B64895" s="10"/>
      <c r="C64895" s="10"/>
    </row>
    <row r="64896" spans="1:4" ht="33.75" customHeight="1" x14ac:dyDescent="0.3">
      <c r="A64896" s="11" t="s">
        <v>26</v>
      </c>
      <c r="B64896" s="11"/>
      <c r="C64896" s="11"/>
    </row>
  </sheetData>
  <sheetProtection algorithmName="SHA-512" hashValue="xMM36IdTi/tbolFcZNPJSr/JSUJnLVQNCdgIIMSNQk8bGwwgB8x9M1In+mJOvmVbZyh4zZhfYVqtg+5cVT8Jkw==" saltValue="7qgRltkOMOUxEGGlpYkShg==" spinCount="100000" sheet="1" selectLockedCells="1"/>
  <mergeCells count="47">
    <mergeCell ref="A1:AQ1"/>
    <mergeCell ref="A3:D3"/>
    <mergeCell ref="E3:J3"/>
    <mergeCell ref="AH3:AQ3"/>
    <mergeCell ref="AR3:AR5"/>
    <mergeCell ref="M3:W3"/>
    <mergeCell ref="K3:L3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Z4:AA4"/>
    <mergeCell ref="AB4:AC4"/>
    <mergeCell ref="AD4:AE4"/>
    <mergeCell ref="AH4:AH5"/>
    <mergeCell ref="AI4:AI5"/>
    <mergeCell ref="AO4:AO5"/>
    <mergeCell ref="AP4:AP5"/>
    <mergeCell ref="AF4:AF5"/>
    <mergeCell ref="AG3:AG5"/>
    <mergeCell ref="AQ4:AQ5"/>
    <mergeCell ref="AJ4:AJ5"/>
    <mergeCell ref="AK4:AK5"/>
    <mergeCell ref="AL4:AL5"/>
    <mergeCell ref="AM4:AM5"/>
    <mergeCell ref="AN4:AN5"/>
    <mergeCell ref="Y4:Y5"/>
    <mergeCell ref="A4:A5"/>
    <mergeCell ref="B4:B5"/>
    <mergeCell ref="C4:C5"/>
    <mergeCell ref="D4:D5"/>
    <mergeCell ref="E4:E5"/>
    <mergeCell ref="V4:V5"/>
    <mergeCell ref="W4:W5"/>
    <mergeCell ref="G4:G5"/>
    <mergeCell ref="F4:F5"/>
    <mergeCell ref="H4:H5"/>
    <mergeCell ref="I4:I5"/>
    <mergeCell ref="J4:J5"/>
    <mergeCell ref="K4:K5"/>
    <mergeCell ref="L4:L5"/>
    <mergeCell ref="X3:X4"/>
  </mergeCells>
  <phoneticPr fontId="3" type="noConversion"/>
  <dataValidations disablePrompts="1" xWindow="1620" yWindow="517" count="24">
    <dataValidation allowBlank="1" showInputMessage="1" showErrorMessage="1" errorTitle="소속기관" error="본청=사업소,고등학교_x000a_지역청=초,중학교" promptTitle="소속기관" sqref="A6:A23" xr:uid="{00000000-0002-0000-0000-000000000000}"/>
    <dataValidation type="list" allowBlank="1" showInputMessage="1" showErrorMessage="1" prompt="주휴일 비례여부를 선택_x000a_비례인 경우: O_x000a_비례 아닌 경우: ×" sqref="T6:T23" xr:uid="{00000000-0002-0000-0000-000001000000}">
      <formula1>"O,X"</formula1>
    </dataValidation>
    <dataValidation allowBlank="1" showInputMessage="1" showErrorMessage="1" prompt="주휴일수를 기재_x000a_(비례)산정된 경우: (예시 - 소수점 둘째자리 올림): &quot;4.5&quot;_x000a_(예시 - 소수점 둘째자리 올림): &quot;3&quot;_x000a__x000a_★주휴일수 없는 경우 기재하지 않음★" sqref="V6:V23" xr:uid="{00000000-0002-0000-0000-000002000000}"/>
    <dataValidation allowBlank="1" showInputMessage="1" showErrorMessage="1" prompt="연장근로 인정 시분의 시간만 기재_x000a_(예)4시간 37분_x000a_4시간 → &quot;4&quot;만 기재" sqref="AB6:AB23" xr:uid="{00000000-0002-0000-0000-000003000000}"/>
    <dataValidation allowBlank="1" showInputMessage="1" showErrorMessage="1" prompt="연장근로 인정 시분의 분단위만 기재_x000a_(예)4시간 37분_x000a_37분 → &quot;37&quot;만 기재" sqref="AC6:AC23" xr:uid="{00000000-0002-0000-0000-000004000000}"/>
    <dataValidation type="list" allowBlank="1" showInputMessage="1" showErrorMessage="1" prompt="고용공제 (제외) 대상자 인 경우: O_x000a_공제 대상인 경우: ×" sqref="AH6:AH23" xr:uid="{00000000-0002-0000-0000-000005000000}">
      <formula1>"O,x"</formula1>
    </dataValidation>
    <dataValidation allowBlank="1" showInputMessage="1" showErrorMessage="1" prompt="야간근로 인정 시분의 시간만 기재_x000a_(예) 1시간 30분_x000a_1시간 → &quot;1&quot;만 기재" sqref="AD6:AD23" xr:uid="{00000000-0002-0000-0000-000006000000}"/>
    <dataValidation allowBlank="1" showInputMessage="1" showErrorMessage="1" prompt="야간근로 인정 시분의 분단위만 기재_x000a_(예) 1시간 30분_x000a_30분 → &quot;30&quot;만 기재" sqref="AE6:AE23" xr:uid="{00000000-0002-0000-0000-000007000000}"/>
    <dataValidation type="list" allowBlank="1" showInputMessage="1" showErrorMessage="1" prompt="당직전담실무원 여부 선택_x000a_&quot;O&quot;, &quot;x&quot;_x000a_★감시단속적 근로자인 당직전담실무원은 가산 없이 &quot;1배&quot;지급_x000a_" sqref="Y6:Y23" xr:uid="{00000000-0002-0000-0000-000008000000}">
      <formula1>"O,x"</formula1>
    </dataValidation>
    <dataValidation allowBlank="1" showInputMessage="1" showErrorMessage="1" prompt="법내 연장근로시간 1배 적용_x000a_" sqref="Z6:AA23" xr:uid="{00000000-0002-0000-0000-000009000000}"/>
    <dataValidation allowBlank="1" showInputMessage="1" showErrorMessage="1" promptTitle="자동계산 됩니다. " prompt="산출식 _x000a_수당총계×9/1000" sqref="AO6:AO23" xr:uid="{00000000-0002-0000-0000-00000A000000}"/>
    <dataValidation allowBlank="1" showInputMessage="1" showErrorMessage="1" promptTitle="자동계산 됩니다. " prompt="공제내역 총계" sqref="AQ6:AQ23" xr:uid="{00000000-0002-0000-0000-00000B000000}"/>
    <dataValidation allowBlank="1" showInputMessage="1" showErrorMessage="1" promptTitle="자동계산" prompt="근로자실지급액=수당총계-공제총계" sqref="AR6:AR23" xr:uid="{00000000-0002-0000-0000-00000C000000}"/>
    <dataValidation allowBlank="1" showInputMessage="1" showErrorMessage="1" promptTitle="자동계산" prompt="수당총계=기본급지급액+연장(야간)근로수당지급액" sqref="AG6:AG23" xr:uid="{00000000-0002-0000-0000-00000D000000}"/>
    <dataValidation allowBlank="1" showInputMessage="1" showErrorMessage="1" promptTitle="자동계산" prompt="데이터를 삭제 금지" sqref="Q6:Q23 AF6:AF23 W6:X23" xr:uid="{00000000-0002-0000-0000-00000E000000}"/>
    <dataValidation type="list" allowBlank="1" showInputMessage="1" showErrorMessage="1" sqref="E6:E23" xr:uid="{00000000-0002-0000-0000-00000F000000}">
      <formula1>"교무실무사,과학실무사,전산실무사,행정실무사,구육성회직원,교무행정실무사(통합),공연장운영보조요원,과학관해설사,교육복지사,방과후지원센터관리자,사서,도서관실무사,영양사,유치원교육실무사,유치원방과후과정강사,전문상담사,조리실무사,초등돌봄전담사,치료사,통학실무사,특수교육실무사,특수진로코디네이터,특수학급종일제강사,평생교육사,학부모상담사,향토사,늘봄행정실무사,특운-고객지원종사자,특운-주차관리원,특운-배식차운전원,특운-일반시설관리원,특운-시설물청소원,특운-당직전담실무원"</formula1>
    </dataValidation>
    <dataValidation allowBlank="1" showInputMessage="1" showErrorMessage="1" prompt="주휴일 지급일수를 기재합니다. _x000a_1일 지급→ &quot;1&quot;_x000a_2일 지급→ &quot;2&quot;" sqref="U6:U23" xr:uid="{00000000-0002-0000-0000-000010000000}"/>
    <dataValidation type="list" allowBlank="1" showInputMessage="1" showErrorMessage="1" promptTitle="기본급 유형을 선택" prompt="콤보박스의 &quot;1유형&quot;,&quot;2유형&quot;을 지정, &quot;1인 당직&quot;,&quot;2인 당직&quot; 선택 합니다._x000a_" sqref="K6:K23" xr:uid="{00000000-0002-0000-0000-000011000000}">
      <formula1>"1유형, 2유형,1인 당직,2인 당직"</formula1>
    </dataValidation>
    <dataValidation type="list" allowBlank="1" showInputMessage="1" showErrorMessage="1" promptTitle="주15시간 기준 선택" prompt="★주15시간 미만 &quot;기본급/임금산정시간&quot;_x000a_★주15시간 이상 &quot;(기본급+지급대상 수당)/임금산정시간&quot;으로 산정되므로 _x000a_→ ★&quot;미만,이상&quot;을 구분하여 선택합니다._x000a__x000a_※(임금산정시간)월 소정근로시간(라)를 입력 → 통상시급 자동산정 됨" sqref="L6:L23" xr:uid="{00000000-0002-0000-0000-000012000000}">
      <formula1>"미만,이상"</formula1>
    </dataValidation>
    <dataValidation allowBlank="1" showInputMessage="1" showErrorMessage="1" promptTitle="해당사항 있을 경우 입력" prompt="해당 직종의 직무수당이 있을 경우만 금액을 입력합니다." sqref="O6:O23" xr:uid="{00000000-0002-0000-0000-000013000000}"/>
    <dataValidation allowBlank="1" showInputMessage="1" showErrorMessage="1" promptTitle="월소정근로시간 산정" prompt="★산정식: &quot;(1주 소정근로시간+유급주휴시간)×365/12개월/7일&quot;_x000a_★예시① 40시간 근로자_x000a_(40시간+8시간)×365/12/7=209시간_x000a_★예시② 1인 당직_x000a_(66.5시간+0시간)×365/12/7=289시간_x000a_★예시③ 2인 당직_x000a_(33.25시간+0시간)×365/12/7=144시간" sqref="P6:P23" xr:uid="{00000000-0002-0000-0000-000014000000}"/>
    <dataValidation allowBlank="1" showInputMessage="1" showErrorMessage="1" promptTitle="1일 임금 유급시간 입력" prompt="8.5시간 당직근무자 등 표기를 위하여 _x000a_8시간 근무자는 &quot;8.0&quot;_x000a_3시간 근무자는 &quot;3.0&quot;으로 자동 표기 됩니다." sqref="R6:R23" xr:uid="{00000000-0002-0000-0000-000015000000}"/>
    <dataValidation allowBlank="1" showInputMessage="1" showErrorMessage="1" promptTitle="근로유급일수" prompt="근로한 일수를 표기하는 부분 입니다. " sqref="S6:S23" xr:uid="{00000000-0002-0000-0000-000016000000}"/>
    <dataValidation type="list" allowBlank="1" showInputMessage="1" showErrorMessage="1" promptTitle="은행명 선택" prompt="은행명 선택 _x000a_or 은행명 정확하게 입력" sqref="H6:H23" xr:uid="{00000000-0002-0000-0000-000017000000}">
      <formula1>은행목록</formula1>
    </dataValidation>
  </dataValidations>
  <pageMargins left="0.25" right="0.25" top="0.75" bottom="0.75" header="0.3" footer="0.3"/>
  <pageSetup paperSize="9" scale="2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J123"/>
  <sheetViews>
    <sheetView zoomScaleNormal="100" workbookViewId="0">
      <selection activeCell="B1" sqref="B1:D2"/>
    </sheetView>
  </sheetViews>
  <sheetFormatPr defaultRowHeight="16.5" x14ac:dyDescent="0.3"/>
  <cols>
    <col min="1" max="1" width="1.625" style="1" customWidth="1"/>
    <col min="2" max="2" width="9" style="1"/>
    <col min="3" max="3" width="9" style="111"/>
    <col min="4" max="4" width="27.5" style="1" customWidth="1"/>
    <col min="5" max="5" width="9" style="1"/>
    <col min="6" max="6" width="8.875" style="101" customWidth="1"/>
    <col min="7" max="11" width="9" style="106"/>
    <col min="244" max="244" width="12.125" customWidth="1"/>
    <col min="257" max="257" width="1.625" customWidth="1"/>
    <col min="260" max="260" width="27.5" customWidth="1"/>
    <col min="262" max="262" width="8.875" customWidth="1"/>
    <col min="500" max="500" width="12.125" customWidth="1"/>
    <col min="513" max="513" width="1.625" customWidth="1"/>
    <col min="516" max="516" width="27.5" customWidth="1"/>
    <col min="518" max="518" width="8.875" customWidth="1"/>
    <col min="756" max="756" width="12.125" customWidth="1"/>
    <col min="769" max="769" width="1.625" customWidth="1"/>
    <col min="772" max="772" width="27.5" customWidth="1"/>
    <col min="774" max="774" width="8.875" customWidth="1"/>
    <col min="1012" max="1012" width="12.125" customWidth="1"/>
    <col min="1025" max="1025" width="1.625" customWidth="1"/>
    <col min="1028" max="1028" width="27.5" customWidth="1"/>
    <col min="1030" max="1030" width="8.875" customWidth="1"/>
    <col min="1268" max="1268" width="12.125" customWidth="1"/>
    <col min="1281" max="1281" width="1.625" customWidth="1"/>
    <col min="1284" max="1284" width="27.5" customWidth="1"/>
    <col min="1286" max="1286" width="8.875" customWidth="1"/>
    <col min="1524" max="1524" width="12.125" customWidth="1"/>
    <col min="1537" max="1537" width="1.625" customWidth="1"/>
    <col min="1540" max="1540" width="27.5" customWidth="1"/>
    <col min="1542" max="1542" width="8.875" customWidth="1"/>
    <col min="1780" max="1780" width="12.125" customWidth="1"/>
    <col min="1793" max="1793" width="1.625" customWidth="1"/>
    <col min="1796" max="1796" width="27.5" customWidth="1"/>
    <col min="1798" max="1798" width="8.875" customWidth="1"/>
    <col min="2036" max="2036" width="12.125" customWidth="1"/>
    <col min="2049" max="2049" width="1.625" customWidth="1"/>
    <col min="2052" max="2052" width="27.5" customWidth="1"/>
    <col min="2054" max="2054" width="8.875" customWidth="1"/>
    <col min="2292" max="2292" width="12.125" customWidth="1"/>
    <col min="2305" max="2305" width="1.625" customWidth="1"/>
    <col min="2308" max="2308" width="27.5" customWidth="1"/>
    <col min="2310" max="2310" width="8.875" customWidth="1"/>
    <col min="2548" max="2548" width="12.125" customWidth="1"/>
    <col min="2561" max="2561" width="1.625" customWidth="1"/>
    <col min="2564" max="2564" width="27.5" customWidth="1"/>
    <col min="2566" max="2566" width="8.875" customWidth="1"/>
    <col min="2804" max="2804" width="12.125" customWidth="1"/>
    <col min="2817" max="2817" width="1.625" customWidth="1"/>
    <col min="2820" max="2820" width="27.5" customWidth="1"/>
    <col min="2822" max="2822" width="8.875" customWidth="1"/>
    <col min="3060" max="3060" width="12.125" customWidth="1"/>
    <col min="3073" max="3073" width="1.625" customWidth="1"/>
    <col min="3076" max="3076" width="27.5" customWidth="1"/>
    <col min="3078" max="3078" width="8.875" customWidth="1"/>
    <col min="3316" max="3316" width="12.125" customWidth="1"/>
    <col min="3329" max="3329" width="1.625" customWidth="1"/>
    <col min="3332" max="3332" width="27.5" customWidth="1"/>
    <col min="3334" max="3334" width="8.875" customWidth="1"/>
    <col min="3572" max="3572" width="12.125" customWidth="1"/>
    <col min="3585" max="3585" width="1.625" customWidth="1"/>
    <col min="3588" max="3588" width="27.5" customWidth="1"/>
    <col min="3590" max="3590" width="8.875" customWidth="1"/>
    <col min="3828" max="3828" width="12.125" customWidth="1"/>
    <col min="3841" max="3841" width="1.625" customWidth="1"/>
    <col min="3844" max="3844" width="27.5" customWidth="1"/>
    <col min="3846" max="3846" width="8.875" customWidth="1"/>
    <col min="4084" max="4084" width="12.125" customWidth="1"/>
    <col min="4097" max="4097" width="1.625" customWidth="1"/>
    <col min="4100" max="4100" width="27.5" customWidth="1"/>
    <col min="4102" max="4102" width="8.875" customWidth="1"/>
    <col min="4340" max="4340" width="12.125" customWidth="1"/>
    <col min="4353" max="4353" width="1.625" customWidth="1"/>
    <col min="4356" max="4356" width="27.5" customWidth="1"/>
    <col min="4358" max="4358" width="8.875" customWidth="1"/>
    <col min="4596" max="4596" width="12.125" customWidth="1"/>
    <col min="4609" max="4609" width="1.625" customWidth="1"/>
    <col min="4612" max="4612" width="27.5" customWidth="1"/>
    <col min="4614" max="4614" width="8.875" customWidth="1"/>
    <col min="4852" max="4852" width="12.125" customWidth="1"/>
    <col min="4865" max="4865" width="1.625" customWidth="1"/>
    <col min="4868" max="4868" width="27.5" customWidth="1"/>
    <col min="4870" max="4870" width="8.875" customWidth="1"/>
    <col min="5108" max="5108" width="12.125" customWidth="1"/>
    <col min="5121" max="5121" width="1.625" customWidth="1"/>
    <col min="5124" max="5124" width="27.5" customWidth="1"/>
    <col min="5126" max="5126" width="8.875" customWidth="1"/>
    <col min="5364" max="5364" width="12.125" customWidth="1"/>
    <col min="5377" max="5377" width="1.625" customWidth="1"/>
    <col min="5380" max="5380" width="27.5" customWidth="1"/>
    <col min="5382" max="5382" width="8.875" customWidth="1"/>
    <col min="5620" max="5620" width="12.125" customWidth="1"/>
    <col min="5633" max="5633" width="1.625" customWidth="1"/>
    <col min="5636" max="5636" width="27.5" customWidth="1"/>
    <col min="5638" max="5638" width="8.875" customWidth="1"/>
    <col min="5876" max="5876" width="12.125" customWidth="1"/>
    <col min="5889" max="5889" width="1.625" customWidth="1"/>
    <col min="5892" max="5892" width="27.5" customWidth="1"/>
    <col min="5894" max="5894" width="8.875" customWidth="1"/>
    <col min="6132" max="6132" width="12.125" customWidth="1"/>
    <col min="6145" max="6145" width="1.625" customWidth="1"/>
    <col min="6148" max="6148" width="27.5" customWidth="1"/>
    <col min="6150" max="6150" width="8.875" customWidth="1"/>
    <col min="6388" max="6388" width="12.125" customWidth="1"/>
    <col min="6401" max="6401" width="1.625" customWidth="1"/>
    <col min="6404" max="6404" width="27.5" customWidth="1"/>
    <col min="6406" max="6406" width="8.875" customWidth="1"/>
    <col min="6644" max="6644" width="12.125" customWidth="1"/>
    <col min="6657" max="6657" width="1.625" customWidth="1"/>
    <col min="6660" max="6660" width="27.5" customWidth="1"/>
    <col min="6662" max="6662" width="8.875" customWidth="1"/>
    <col min="6900" max="6900" width="12.125" customWidth="1"/>
    <col min="6913" max="6913" width="1.625" customWidth="1"/>
    <col min="6916" max="6916" width="27.5" customWidth="1"/>
    <col min="6918" max="6918" width="8.875" customWidth="1"/>
    <col min="7156" max="7156" width="12.125" customWidth="1"/>
    <col min="7169" max="7169" width="1.625" customWidth="1"/>
    <col min="7172" max="7172" width="27.5" customWidth="1"/>
    <col min="7174" max="7174" width="8.875" customWidth="1"/>
    <col min="7412" max="7412" width="12.125" customWidth="1"/>
    <col min="7425" max="7425" width="1.625" customWidth="1"/>
    <col min="7428" max="7428" width="27.5" customWidth="1"/>
    <col min="7430" max="7430" width="8.875" customWidth="1"/>
    <col min="7668" max="7668" width="12.125" customWidth="1"/>
    <col min="7681" max="7681" width="1.625" customWidth="1"/>
    <col min="7684" max="7684" width="27.5" customWidth="1"/>
    <col min="7686" max="7686" width="8.875" customWidth="1"/>
    <col min="7924" max="7924" width="12.125" customWidth="1"/>
    <col min="7937" max="7937" width="1.625" customWidth="1"/>
    <col min="7940" max="7940" width="27.5" customWidth="1"/>
    <col min="7942" max="7942" width="8.875" customWidth="1"/>
    <col min="8180" max="8180" width="12.125" customWidth="1"/>
    <col min="8193" max="8193" width="1.625" customWidth="1"/>
    <col min="8196" max="8196" width="27.5" customWidth="1"/>
    <col min="8198" max="8198" width="8.875" customWidth="1"/>
    <col min="8436" max="8436" width="12.125" customWidth="1"/>
    <col min="8449" max="8449" width="1.625" customWidth="1"/>
    <col min="8452" max="8452" width="27.5" customWidth="1"/>
    <col min="8454" max="8454" width="8.875" customWidth="1"/>
    <col min="8692" max="8692" width="12.125" customWidth="1"/>
    <col min="8705" max="8705" width="1.625" customWidth="1"/>
    <col min="8708" max="8708" width="27.5" customWidth="1"/>
    <col min="8710" max="8710" width="8.875" customWidth="1"/>
    <col min="8948" max="8948" width="12.125" customWidth="1"/>
    <col min="8961" max="8961" width="1.625" customWidth="1"/>
    <col min="8964" max="8964" width="27.5" customWidth="1"/>
    <col min="8966" max="8966" width="8.875" customWidth="1"/>
    <col min="9204" max="9204" width="12.125" customWidth="1"/>
    <col min="9217" max="9217" width="1.625" customWidth="1"/>
    <col min="9220" max="9220" width="27.5" customWidth="1"/>
    <col min="9222" max="9222" width="8.875" customWidth="1"/>
    <col min="9460" max="9460" width="12.125" customWidth="1"/>
    <col min="9473" max="9473" width="1.625" customWidth="1"/>
    <col min="9476" max="9476" width="27.5" customWidth="1"/>
    <col min="9478" max="9478" width="8.875" customWidth="1"/>
    <col min="9716" max="9716" width="12.125" customWidth="1"/>
    <col min="9729" max="9729" width="1.625" customWidth="1"/>
    <col min="9732" max="9732" width="27.5" customWidth="1"/>
    <col min="9734" max="9734" width="8.875" customWidth="1"/>
    <col min="9972" max="9972" width="12.125" customWidth="1"/>
    <col min="9985" max="9985" width="1.625" customWidth="1"/>
    <col min="9988" max="9988" width="27.5" customWidth="1"/>
    <col min="9990" max="9990" width="8.875" customWidth="1"/>
    <col min="10228" max="10228" width="12.125" customWidth="1"/>
    <col min="10241" max="10241" width="1.625" customWidth="1"/>
    <col min="10244" max="10244" width="27.5" customWidth="1"/>
    <col min="10246" max="10246" width="8.875" customWidth="1"/>
    <col min="10484" max="10484" width="12.125" customWidth="1"/>
    <col min="10497" max="10497" width="1.625" customWidth="1"/>
    <col min="10500" max="10500" width="27.5" customWidth="1"/>
    <col min="10502" max="10502" width="8.875" customWidth="1"/>
    <col min="10740" max="10740" width="12.125" customWidth="1"/>
    <col min="10753" max="10753" width="1.625" customWidth="1"/>
    <col min="10756" max="10756" width="27.5" customWidth="1"/>
    <col min="10758" max="10758" width="8.875" customWidth="1"/>
    <col min="10996" max="10996" width="12.125" customWidth="1"/>
    <col min="11009" max="11009" width="1.625" customWidth="1"/>
    <col min="11012" max="11012" width="27.5" customWidth="1"/>
    <col min="11014" max="11014" width="8.875" customWidth="1"/>
    <col min="11252" max="11252" width="12.125" customWidth="1"/>
    <col min="11265" max="11265" width="1.625" customWidth="1"/>
    <col min="11268" max="11268" width="27.5" customWidth="1"/>
    <col min="11270" max="11270" width="8.875" customWidth="1"/>
    <col min="11508" max="11508" width="12.125" customWidth="1"/>
    <col min="11521" max="11521" width="1.625" customWidth="1"/>
    <col min="11524" max="11524" width="27.5" customWidth="1"/>
    <col min="11526" max="11526" width="8.875" customWidth="1"/>
    <col min="11764" max="11764" width="12.125" customWidth="1"/>
    <col min="11777" max="11777" width="1.625" customWidth="1"/>
    <col min="11780" max="11780" width="27.5" customWidth="1"/>
    <col min="11782" max="11782" width="8.875" customWidth="1"/>
    <col min="12020" max="12020" width="12.125" customWidth="1"/>
    <col min="12033" max="12033" width="1.625" customWidth="1"/>
    <col min="12036" max="12036" width="27.5" customWidth="1"/>
    <col min="12038" max="12038" width="8.875" customWidth="1"/>
    <col min="12276" max="12276" width="12.125" customWidth="1"/>
    <col min="12289" max="12289" width="1.625" customWidth="1"/>
    <col min="12292" max="12292" width="27.5" customWidth="1"/>
    <col min="12294" max="12294" width="8.875" customWidth="1"/>
    <col min="12532" max="12532" width="12.125" customWidth="1"/>
    <col min="12545" max="12545" width="1.625" customWidth="1"/>
    <col min="12548" max="12548" width="27.5" customWidth="1"/>
    <col min="12550" max="12550" width="8.875" customWidth="1"/>
    <col min="12788" max="12788" width="12.125" customWidth="1"/>
    <col min="12801" max="12801" width="1.625" customWidth="1"/>
    <col min="12804" max="12804" width="27.5" customWidth="1"/>
    <col min="12806" max="12806" width="8.875" customWidth="1"/>
    <col min="13044" max="13044" width="12.125" customWidth="1"/>
    <col min="13057" max="13057" width="1.625" customWidth="1"/>
    <col min="13060" max="13060" width="27.5" customWidth="1"/>
    <col min="13062" max="13062" width="8.875" customWidth="1"/>
    <col min="13300" max="13300" width="12.125" customWidth="1"/>
    <col min="13313" max="13313" width="1.625" customWidth="1"/>
    <col min="13316" max="13316" width="27.5" customWidth="1"/>
    <col min="13318" max="13318" width="8.875" customWidth="1"/>
    <col min="13556" max="13556" width="12.125" customWidth="1"/>
    <col min="13569" max="13569" width="1.625" customWidth="1"/>
    <col min="13572" max="13572" width="27.5" customWidth="1"/>
    <col min="13574" max="13574" width="8.875" customWidth="1"/>
    <col min="13812" max="13812" width="12.125" customWidth="1"/>
    <col min="13825" max="13825" width="1.625" customWidth="1"/>
    <col min="13828" max="13828" width="27.5" customWidth="1"/>
    <col min="13830" max="13830" width="8.875" customWidth="1"/>
    <col min="14068" max="14068" width="12.125" customWidth="1"/>
    <col min="14081" max="14081" width="1.625" customWidth="1"/>
    <col min="14084" max="14084" width="27.5" customWidth="1"/>
    <col min="14086" max="14086" width="8.875" customWidth="1"/>
    <col min="14324" max="14324" width="12.125" customWidth="1"/>
    <col min="14337" max="14337" width="1.625" customWidth="1"/>
    <col min="14340" max="14340" width="27.5" customWidth="1"/>
    <col min="14342" max="14342" width="8.875" customWidth="1"/>
    <col min="14580" max="14580" width="12.125" customWidth="1"/>
    <col min="14593" max="14593" width="1.625" customWidth="1"/>
    <col min="14596" max="14596" width="27.5" customWidth="1"/>
    <col min="14598" max="14598" width="8.875" customWidth="1"/>
    <col min="14836" max="14836" width="12.125" customWidth="1"/>
    <col min="14849" max="14849" width="1.625" customWidth="1"/>
    <col min="14852" max="14852" width="27.5" customWidth="1"/>
    <col min="14854" max="14854" width="8.875" customWidth="1"/>
    <col min="15092" max="15092" width="12.125" customWidth="1"/>
    <col min="15105" max="15105" width="1.625" customWidth="1"/>
    <col min="15108" max="15108" width="27.5" customWidth="1"/>
    <col min="15110" max="15110" width="8.875" customWidth="1"/>
    <col min="15348" max="15348" width="12.125" customWidth="1"/>
    <col min="15361" max="15361" width="1.625" customWidth="1"/>
    <col min="15364" max="15364" width="27.5" customWidth="1"/>
    <col min="15366" max="15366" width="8.875" customWidth="1"/>
    <col min="15604" max="15604" width="12.125" customWidth="1"/>
    <col min="15617" max="15617" width="1.625" customWidth="1"/>
    <col min="15620" max="15620" width="27.5" customWidth="1"/>
    <col min="15622" max="15622" width="8.875" customWidth="1"/>
    <col min="15860" max="15860" width="12.125" customWidth="1"/>
    <col min="15873" max="15873" width="1.625" customWidth="1"/>
    <col min="15876" max="15876" width="27.5" customWidth="1"/>
    <col min="15878" max="15878" width="8.875" customWidth="1"/>
    <col min="16116" max="16116" width="12.125" customWidth="1"/>
    <col min="16129" max="16129" width="1.625" customWidth="1"/>
    <col min="16132" max="16132" width="27.5" customWidth="1"/>
    <col min="16134" max="16134" width="8.875" customWidth="1"/>
    <col min="16372" max="16372" width="12.125" customWidth="1"/>
  </cols>
  <sheetData>
    <row r="1" spans="1:244" x14ac:dyDescent="0.3">
      <c r="A1"/>
      <c r="B1" s="168" t="s">
        <v>96</v>
      </c>
      <c r="C1" s="169"/>
      <c r="D1" s="169"/>
      <c r="E1"/>
      <c r="G1"/>
      <c r="H1"/>
      <c r="I1"/>
      <c r="J1"/>
      <c r="K1"/>
    </row>
    <row r="2" spans="1:244" x14ac:dyDescent="0.3">
      <c r="A2"/>
      <c r="B2" s="169"/>
      <c r="C2" s="169"/>
      <c r="D2" s="169"/>
      <c r="E2"/>
      <c r="G2"/>
      <c r="H2"/>
      <c r="I2"/>
      <c r="J2"/>
      <c r="K2"/>
    </row>
    <row r="3" spans="1:244" x14ac:dyDescent="0.3">
      <c r="A3"/>
      <c r="B3" s="102" t="s">
        <v>97</v>
      </c>
      <c r="C3" s="102" t="s">
        <v>98</v>
      </c>
      <c r="D3" s="102" t="s">
        <v>99</v>
      </c>
      <c r="E3"/>
      <c r="G3"/>
      <c r="H3"/>
      <c r="I3"/>
      <c r="J3"/>
      <c r="K3"/>
    </row>
    <row r="4" spans="1:244" x14ac:dyDescent="0.3">
      <c r="B4" s="103">
        <v>3</v>
      </c>
      <c r="C4" s="104" t="s">
        <v>105</v>
      </c>
      <c r="D4" s="107" t="s">
        <v>106</v>
      </c>
      <c r="II4" t="s">
        <v>102</v>
      </c>
      <c r="IJ4" t="e">
        <f>VLOOKUP(#REF!,[3]Code!$C$1:$C$126,1,FALSE)</f>
        <v>#REF!</v>
      </c>
    </row>
    <row r="5" spans="1:244" x14ac:dyDescent="0.3">
      <c r="B5" s="103">
        <v>4</v>
      </c>
      <c r="C5" s="104" t="s">
        <v>107</v>
      </c>
      <c r="D5" s="107" t="s">
        <v>108</v>
      </c>
    </row>
    <row r="6" spans="1:244" x14ac:dyDescent="0.3">
      <c r="B6" s="103">
        <v>3</v>
      </c>
      <c r="C6" s="104" t="s">
        <v>105</v>
      </c>
      <c r="D6" s="107" t="s">
        <v>106</v>
      </c>
      <c r="II6" t="s">
        <v>102</v>
      </c>
      <c r="IJ6" t="e">
        <f>VLOOKUP(#REF!,[3]Code!$C$1:$C$126,1,FALSE)</f>
        <v>#REF!</v>
      </c>
    </row>
    <row r="7" spans="1:244" x14ac:dyDescent="0.3">
      <c r="B7" s="103">
        <v>8</v>
      </c>
      <c r="C7" s="104" t="s">
        <v>114</v>
      </c>
      <c r="D7" s="107" t="s">
        <v>115</v>
      </c>
      <c r="II7" t="s">
        <v>102</v>
      </c>
      <c r="IJ7" t="e">
        <f>VLOOKUP(#REF!,[3]Code!$C$1:$C$92,1,FALSE)</f>
        <v>#REF!</v>
      </c>
    </row>
    <row r="8" spans="1:244" x14ac:dyDescent="0.3">
      <c r="B8" s="103">
        <v>10</v>
      </c>
      <c r="C8" s="104" t="s">
        <v>116</v>
      </c>
      <c r="D8" s="107" t="s">
        <v>117</v>
      </c>
      <c r="II8" t="s">
        <v>102</v>
      </c>
      <c r="IJ8" t="e">
        <f>VLOOKUP(#REF!,[3]Code!$C$1:$C$92,1,FALSE)</f>
        <v>#REF!</v>
      </c>
    </row>
    <row r="9" spans="1:244" x14ac:dyDescent="0.3">
      <c r="B9" s="103">
        <v>42</v>
      </c>
      <c r="C9" s="104" t="s">
        <v>180</v>
      </c>
      <c r="D9" s="107" t="s">
        <v>181</v>
      </c>
    </row>
    <row r="10" spans="1:244" x14ac:dyDescent="0.3">
      <c r="B10" s="103">
        <v>41</v>
      </c>
      <c r="C10" s="104" t="s">
        <v>178</v>
      </c>
      <c r="D10" s="107" t="s">
        <v>179</v>
      </c>
    </row>
    <row r="11" spans="1:244" x14ac:dyDescent="0.3">
      <c r="B11" s="103">
        <v>11</v>
      </c>
      <c r="C11" s="104" t="s">
        <v>118</v>
      </c>
      <c r="D11" s="107" t="s">
        <v>119</v>
      </c>
      <c r="II11" t="s">
        <v>102</v>
      </c>
      <c r="IJ11" t="e">
        <f>VLOOKUP(#REF!,[3]Code!$C$1:$C$92,1,FALSE)</f>
        <v>#REF!</v>
      </c>
    </row>
    <row r="12" spans="1:244" x14ac:dyDescent="0.3">
      <c r="B12" s="103">
        <v>12</v>
      </c>
      <c r="C12" s="104" t="s">
        <v>120</v>
      </c>
      <c r="D12" s="107" t="s">
        <v>121</v>
      </c>
      <c r="II12" t="s">
        <v>102</v>
      </c>
      <c r="IJ12" t="e">
        <f>VLOOKUP(#REF!,[3]Code!$C$1:$C$92,1,FALSE)</f>
        <v>#REF!</v>
      </c>
    </row>
    <row r="13" spans="1:244" x14ac:dyDescent="0.3">
      <c r="B13" s="103">
        <v>6</v>
      </c>
      <c r="C13" s="104" t="s">
        <v>110</v>
      </c>
      <c r="D13" s="107" t="s">
        <v>111</v>
      </c>
      <c r="II13" t="s">
        <v>102</v>
      </c>
      <c r="IJ13" t="e">
        <f>VLOOKUP(#REF!,[3]Code!$C$1:$C$92,1,FALSE)</f>
        <v>#REF!</v>
      </c>
    </row>
    <row r="14" spans="1:244" x14ac:dyDescent="0.3">
      <c r="B14" s="103">
        <v>22</v>
      </c>
      <c r="C14" s="104" t="s">
        <v>140</v>
      </c>
      <c r="D14" s="107" t="s">
        <v>141</v>
      </c>
    </row>
    <row r="15" spans="1:244" x14ac:dyDescent="0.3">
      <c r="B15" s="103">
        <v>21</v>
      </c>
      <c r="C15" s="104" t="s">
        <v>138</v>
      </c>
      <c r="D15" s="107" t="s">
        <v>139</v>
      </c>
    </row>
    <row r="16" spans="1:244" x14ac:dyDescent="0.3">
      <c r="B16" s="103">
        <v>38</v>
      </c>
      <c r="C16" s="104" t="s">
        <v>172</v>
      </c>
      <c r="D16" s="107" t="s">
        <v>173</v>
      </c>
    </row>
    <row r="17" spans="2:244" x14ac:dyDescent="0.3">
      <c r="B17" s="103">
        <v>43</v>
      </c>
      <c r="C17" s="104" t="s">
        <v>182</v>
      </c>
      <c r="D17" s="107" t="s">
        <v>183</v>
      </c>
    </row>
    <row r="18" spans="2:244" x14ac:dyDescent="0.3">
      <c r="B18" s="103">
        <v>44</v>
      </c>
      <c r="C18" s="104" t="s">
        <v>184</v>
      </c>
      <c r="D18" s="107" t="s">
        <v>185</v>
      </c>
    </row>
    <row r="19" spans="2:244" x14ac:dyDescent="0.3">
      <c r="B19" s="103">
        <v>45</v>
      </c>
      <c r="C19" s="104" t="s">
        <v>186</v>
      </c>
      <c r="D19" s="107" t="s">
        <v>187</v>
      </c>
    </row>
    <row r="20" spans="2:244" x14ac:dyDescent="0.3">
      <c r="B20" s="103">
        <v>5</v>
      </c>
      <c r="C20" s="104" t="s">
        <v>109</v>
      </c>
      <c r="D20" s="105" t="s">
        <v>280</v>
      </c>
      <c r="II20" t="s">
        <v>102</v>
      </c>
      <c r="IJ20" t="e">
        <f>VLOOKUP(#REF!,[3]Code!$C$1:$C$92,1,FALSE)</f>
        <v>#REF!</v>
      </c>
    </row>
    <row r="21" spans="2:244" x14ac:dyDescent="0.3">
      <c r="B21" s="103">
        <v>2</v>
      </c>
      <c r="C21" s="104" t="s">
        <v>103</v>
      </c>
      <c r="D21" s="105" t="s">
        <v>104</v>
      </c>
      <c r="II21" t="s">
        <v>102</v>
      </c>
      <c r="IJ21" t="e">
        <f>VLOOKUP(#REF!,[3]Code!$C$1:$C$130,1,FALSE)</f>
        <v>#REF!</v>
      </c>
    </row>
    <row r="22" spans="2:244" x14ac:dyDescent="0.3">
      <c r="B22" s="103">
        <v>1</v>
      </c>
      <c r="C22" s="104" t="s">
        <v>100</v>
      </c>
      <c r="D22" s="105" t="s">
        <v>101</v>
      </c>
      <c r="II22" t="s">
        <v>102</v>
      </c>
      <c r="IJ22" t="e">
        <f>VLOOKUP(#REF!,[3]Code!$C$1:$C$130,1,FALSE)</f>
        <v>#REF!</v>
      </c>
    </row>
    <row r="23" spans="2:244" x14ac:dyDescent="0.3">
      <c r="B23" s="103">
        <v>7</v>
      </c>
      <c r="C23" s="104" t="s">
        <v>112</v>
      </c>
      <c r="D23" s="105" t="s">
        <v>113</v>
      </c>
      <c r="II23" t="s">
        <v>102</v>
      </c>
      <c r="IJ23" t="e">
        <f>VLOOKUP(#REF!,[3]Code!$C$1:$C$92,1,FALSE)</f>
        <v>#REF!</v>
      </c>
    </row>
    <row r="24" spans="2:244" x14ac:dyDescent="0.3">
      <c r="B24" s="103">
        <v>13</v>
      </c>
      <c r="C24" s="104" t="s">
        <v>122</v>
      </c>
      <c r="D24" s="105" t="s">
        <v>123</v>
      </c>
      <c r="II24" t="s">
        <v>102</v>
      </c>
      <c r="IJ24" t="e">
        <f>VLOOKUP(#REF!,[3]Code!$C$1:$C$92,1,FALSE)</f>
        <v>#REF!</v>
      </c>
    </row>
    <row r="25" spans="2:244" x14ac:dyDescent="0.3">
      <c r="B25" s="103">
        <v>14</v>
      </c>
      <c r="C25" s="104" t="s">
        <v>124</v>
      </c>
      <c r="D25" s="105" t="s">
        <v>125</v>
      </c>
      <c r="II25" t="s">
        <v>102</v>
      </c>
      <c r="IJ25" t="e">
        <f>VLOOKUP(#REF!,[3]Code!$C$1:$C$92,1,FALSE)</f>
        <v>#REF!</v>
      </c>
    </row>
    <row r="26" spans="2:244" x14ac:dyDescent="0.3">
      <c r="B26" s="103">
        <v>15</v>
      </c>
      <c r="C26" s="104" t="s">
        <v>126</v>
      </c>
      <c r="D26" s="105" t="s">
        <v>127</v>
      </c>
    </row>
    <row r="27" spans="2:244" x14ac:dyDescent="0.3">
      <c r="B27" s="103">
        <v>16</v>
      </c>
      <c r="C27" s="104" t="s">
        <v>128</v>
      </c>
      <c r="D27" s="105" t="s">
        <v>129</v>
      </c>
    </row>
    <row r="28" spans="2:244" x14ac:dyDescent="0.3">
      <c r="B28" s="103">
        <v>17</v>
      </c>
      <c r="C28" s="104" t="s">
        <v>130</v>
      </c>
      <c r="D28" s="105" t="s">
        <v>131</v>
      </c>
    </row>
    <row r="29" spans="2:244" x14ac:dyDescent="0.3">
      <c r="B29" s="103">
        <v>18</v>
      </c>
      <c r="C29" s="104" t="s">
        <v>132</v>
      </c>
      <c r="D29" s="105" t="s">
        <v>133</v>
      </c>
    </row>
    <row r="30" spans="2:244" x14ac:dyDescent="0.3">
      <c r="B30" s="103">
        <v>19</v>
      </c>
      <c r="C30" s="104" t="s">
        <v>134</v>
      </c>
      <c r="D30" s="105" t="s">
        <v>135</v>
      </c>
    </row>
    <row r="31" spans="2:244" x14ac:dyDescent="0.3">
      <c r="B31" s="103">
        <v>20</v>
      </c>
      <c r="C31" s="104" t="s">
        <v>136</v>
      </c>
      <c r="D31" s="105" t="s">
        <v>137</v>
      </c>
    </row>
    <row r="32" spans="2:244" x14ac:dyDescent="0.3">
      <c r="B32" s="103">
        <v>23</v>
      </c>
      <c r="C32" s="104" t="s">
        <v>142</v>
      </c>
      <c r="D32" s="105" t="s">
        <v>143</v>
      </c>
    </row>
    <row r="33" spans="2:4" x14ac:dyDescent="0.3">
      <c r="B33" s="103">
        <v>24</v>
      </c>
      <c r="C33" s="104" t="s">
        <v>144</v>
      </c>
      <c r="D33" s="105" t="s">
        <v>145</v>
      </c>
    </row>
    <row r="34" spans="2:4" x14ac:dyDescent="0.3">
      <c r="B34" s="103">
        <v>25</v>
      </c>
      <c r="C34" s="104" t="s">
        <v>146</v>
      </c>
      <c r="D34" s="105" t="s">
        <v>147</v>
      </c>
    </row>
    <row r="35" spans="2:4" x14ac:dyDescent="0.3">
      <c r="B35" s="103">
        <v>26</v>
      </c>
      <c r="C35" s="104" t="s">
        <v>148</v>
      </c>
      <c r="D35" s="105" t="s">
        <v>149</v>
      </c>
    </row>
    <row r="36" spans="2:4" x14ac:dyDescent="0.3">
      <c r="B36" s="103">
        <v>27</v>
      </c>
      <c r="C36" s="104" t="s">
        <v>150</v>
      </c>
      <c r="D36" s="105" t="s">
        <v>151</v>
      </c>
    </row>
    <row r="37" spans="2:4" x14ac:dyDescent="0.3">
      <c r="B37" s="103">
        <v>28</v>
      </c>
      <c r="C37" s="104" t="s">
        <v>152</v>
      </c>
      <c r="D37" s="105" t="s">
        <v>153</v>
      </c>
    </row>
    <row r="38" spans="2:4" x14ac:dyDescent="0.3">
      <c r="B38" s="103">
        <v>29</v>
      </c>
      <c r="C38" s="104" t="s">
        <v>154</v>
      </c>
      <c r="D38" s="105" t="s">
        <v>155</v>
      </c>
    </row>
    <row r="39" spans="2:4" x14ac:dyDescent="0.3">
      <c r="B39" s="103">
        <v>30</v>
      </c>
      <c r="C39" s="104" t="s">
        <v>156</v>
      </c>
      <c r="D39" s="105" t="s">
        <v>157</v>
      </c>
    </row>
    <row r="40" spans="2:4" x14ac:dyDescent="0.3">
      <c r="B40" s="103">
        <v>31</v>
      </c>
      <c r="C40" s="104" t="s">
        <v>158</v>
      </c>
      <c r="D40" s="105" t="s">
        <v>159</v>
      </c>
    </row>
    <row r="41" spans="2:4" x14ac:dyDescent="0.3">
      <c r="B41" s="103">
        <v>32</v>
      </c>
      <c r="C41" s="104" t="s">
        <v>160</v>
      </c>
      <c r="D41" s="105" t="s">
        <v>161</v>
      </c>
    </row>
    <row r="42" spans="2:4" x14ac:dyDescent="0.3">
      <c r="B42" s="103">
        <v>33</v>
      </c>
      <c r="C42" s="104" t="s">
        <v>162</v>
      </c>
      <c r="D42" s="105" t="s">
        <v>163</v>
      </c>
    </row>
    <row r="43" spans="2:4" x14ac:dyDescent="0.3">
      <c r="B43" s="103">
        <v>34</v>
      </c>
      <c r="C43" s="104" t="s">
        <v>164</v>
      </c>
      <c r="D43" s="105" t="s">
        <v>165</v>
      </c>
    </row>
    <row r="44" spans="2:4" x14ac:dyDescent="0.3">
      <c r="B44" s="103">
        <v>35</v>
      </c>
      <c r="C44" s="104" t="s">
        <v>166</v>
      </c>
      <c r="D44" s="105" t="s">
        <v>167</v>
      </c>
    </row>
    <row r="45" spans="2:4" x14ac:dyDescent="0.3">
      <c r="B45" s="103">
        <v>36</v>
      </c>
      <c r="C45" s="104" t="s">
        <v>168</v>
      </c>
      <c r="D45" s="105" t="s">
        <v>169</v>
      </c>
    </row>
    <row r="46" spans="2:4" x14ac:dyDescent="0.3">
      <c r="B46" s="103">
        <v>37</v>
      </c>
      <c r="C46" s="104" t="s">
        <v>170</v>
      </c>
      <c r="D46" s="105" t="s">
        <v>171</v>
      </c>
    </row>
    <row r="47" spans="2:4" x14ac:dyDescent="0.3">
      <c r="B47" s="103">
        <v>39</v>
      </c>
      <c r="C47" s="104" t="s">
        <v>174</v>
      </c>
      <c r="D47" s="105" t="s">
        <v>175</v>
      </c>
    </row>
    <row r="48" spans="2:4" x14ac:dyDescent="0.3">
      <c r="B48" s="103">
        <v>40</v>
      </c>
      <c r="C48" s="104" t="s">
        <v>176</v>
      </c>
      <c r="D48" s="105" t="s">
        <v>177</v>
      </c>
    </row>
    <row r="49" spans="2:4" x14ac:dyDescent="0.3">
      <c r="B49" s="103">
        <v>46</v>
      </c>
      <c r="C49" s="104" t="s">
        <v>188</v>
      </c>
      <c r="D49" s="105" t="s">
        <v>189</v>
      </c>
    </row>
    <row r="50" spans="2:4" x14ac:dyDescent="0.3">
      <c r="B50" s="103">
        <v>47</v>
      </c>
      <c r="C50" s="104" t="s">
        <v>190</v>
      </c>
      <c r="D50" s="105" t="s">
        <v>191</v>
      </c>
    </row>
    <row r="51" spans="2:4" x14ac:dyDescent="0.3">
      <c r="B51" s="103">
        <v>48</v>
      </c>
      <c r="C51" s="104" t="s">
        <v>192</v>
      </c>
      <c r="D51" s="105" t="s">
        <v>193</v>
      </c>
    </row>
    <row r="52" spans="2:4" x14ac:dyDescent="0.3">
      <c r="B52" s="103">
        <v>49</v>
      </c>
      <c r="C52" s="104" t="s">
        <v>194</v>
      </c>
      <c r="D52" s="105" t="s">
        <v>195</v>
      </c>
    </row>
    <row r="53" spans="2:4" x14ac:dyDescent="0.3">
      <c r="B53" s="103">
        <v>50</v>
      </c>
      <c r="C53" s="104" t="s">
        <v>196</v>
      </c>
      <c r="D53" s="105" t="s">
        <v>197</v>
      </c>
    </row>
    <row r="54" spans="2:4" x14ac:dyDescent="0.3">
      <c r="B54" s="103">
        <v>51</v>
      </c>
      <c r="C54" s="104" t="s">
        <v>198</v>
      </c>
      <c r="D54" s="105" t="s">
        <v>199</v>
      </c>
    </row>
    <row r="55" spans="2:4" x14ac:dyDescent="0.3">
      <c r="B55" s="103">
        <v>52</v>
      </c>
      <c r="C55" s="104" t="s">
        <v>200</v>
      </c>
      <c r="D55" s="105" t="s">
        <v>201</v>
      </c>
    </row>
    <row r="56" spans="2:4" x14ac:dyDescent="0.3">
      <c r="B56" s="103">
        <v>53</v>
      </c>
      <c r="C56" s="104" t="s">
        <v>202</v>
      </c>
      <c r="D56" s="105" t="s">
        <v>203</v>
      </c>
    </row>
    <row r="57" spans="2:4" x14ac:dyDescent="0.3">
      <c r="B57" s="103">
        <v>54</v>
      </c>
      <c r="C57" s="104" t="s">
        <v>204</v>
      </c>
      <c r="D57" s="105" t="s">
        <v>205</v>
      </c>
    </row>
    <row r="58" spans="2:4" x14ac:dyDescent="0.3">
      <c r="B58" s="103">
        <v>55</v>
      </c>
      <c r="C58" s="104" t="s">
        <v>206</v>
      </c>
      <c r="D58" s="105" t="s">
        <v>207</v>
      </c>
    </row>
    <row r="59" spans="2:4" x14ac:dyDescent="0.3">
      <c r="B59" s="103">
        <v>56</v>
      </c>
      <c r="C59" s="104" t="s">
        <v>208</v>
      </c>
      <c r="D59" s="105" t="s">
        <v>209</v>
      </c>
    </row>
    <row r="60" spans="2:4" x14ac:dyDescent="0.3">
      <c r="B60" s="103">
        <v>57</v>
      </c>
      <c r="C60" s="104" t="s">
        <v>210</v>
      </c>
      <c r="D60" s="105" t="s">
        <v>211</v>
      </c>
    </row>
    <row r="61" spans="2:4" x14ac:dyDescent="0.3">
      <c r="B61" s="103">
        <v>58</v>
      </c>
      <c r="C61" s="104" t="s">
        <v>212</v>
      </c>
      <c r="D61" s="105" t="s">
        <v>213</v>
      </c>
    </row>
    <row r="62" spans="2:4" x14ac:dyDescent="0.3">
      <c r="B62" s="103">
        <v>59</v>
      </c>
      <c r="C62" s="104" t="s">
        <v>214</v>
      </c>
      <c r="D62" s="105" t="s">
        <v>215</v>
      </c>
    </row>
    <row r="63" spans="2:4" x14ac:dyDescent="0.3">
      <c r="B63" s="103">
        <v>60</v>
      </c>
      <c r="C63" s="104">
        <v>262</v>
      </c>
      <c r="D63" s="105" t="s">
        <v>216</v>
      </c>
    </row>
    <row r="64" spans="2:4" x14ac:dyDescent="0.3">
      <c r="B64" s="103">
        <v>61</v>
      </c>
      <c r="C64" s="104">
        <v>263</v>
      </c>
      <c r="D64" s="105" t="s">
        <v>217</v>
      </c>
    </row>
    <row r="65" spans="2:4" x14ac:dyDescent="0.3">
      <c r="B65" s="103">
        <v>62</v>
      </c>
      <c r="C65" s="104">
        <v>264</v>
      </c>
      <c r="D65" s="105" t="s">
        <v>218</v>
      </c>
    </row>
    <row r="66" spans="2:4" x14ac:dyDescent="0.3">
      <c r="B66" s="103">
        <v>63</v>
      </c>
      <c r="C66" s="104">
        <v>265</v>
      </c>
      <c r="D66" s="105" t="s">
        <v>219</v>
      </c>
    </row>
    <row r="67" spans="2:4" x14ac:dyDescent="0.3">
      <c r="B67" s="103">
        <v>64</v>
      </c>
      <c r="C67" s="104">
        <v>266</v>
      </c>
      <c r="D67" s="105" t="s">
        <v>220</v>
      </c>
    </row>
    <row r="68" spans="2:4" x14ac:dyDescent="0.3">
      <c r="B68" s="103">
        <v>65</v>
      </c>
      <c r="C68" s="104">
        <v>267</v>
      </c>
      <c r="D68" s="105" t="s">
        <v>221</v>
      </c>
    </row>
    <row r="69" spans="2:4" x14ac:dyDescent="0.3">
      <c r="B69" s="103">
        <v>66</v>
      </c>
      <c r="C69" s="104">
        <v>269</v>
      </c>
      <c r="D69" s="105" t="s">
        <v>222</v>
      </c>
    </row>
    <row r="70" spans="2:4" x14ac:dyDescent="0.3">
      <c r="B70" s="103">
        <v>67</v>
      </c>
      <c r="C70" s="104">
        <v>270</v>
      </c>
      <c r="D70" s="105" t="s">
        <v>223</v>
      </c>
    </row>
    <row r="71" spans="2:4" x14ac:dyDescent="0.3">
      <c r="B71" s="103">
        <v>68</v>
      </c>
      <c r="C71" s="104">
        <v>278</v>
      </c>
      <c r="D71" s="105" t="s">
        <v>224</v>
      </c>
    </row>
    <row r="72" spans="2:4" x14ac:dyDescent="0.3">
      <c r="B72" s="103">
        <v>69</v>
      </c>
      <c r="C72" s="104">
        <v>279</v>
      </c>
      <c r="D72" s="105" t="s">
        <v>225</v>
      </c>
    </row>
    <row r="73" spans="2:4" x14ac:dyDescent="0.3">
      <c r="B73" s="103">
        <v>70</v>
      </c>
      <c r="C73" s="104">
        <v>280</v>
      </c>
      <c r="D73" s="105" t="s">
        <v>226</v>
      </c>
    </row>
    <row r="74" spans="2:4" x14ac:dyDescent="0.3">
      <c r="B74" s="103">
        <v>71</v>
      </c>
      <c r="C74" s="104">
        <v>287</v>
      </c>
      <c r="D74" s="105" t="s">
        <v>227</v>
      </c>
    </row>
    <row r="75" spans="2:4" x14ac:dyDescent="0.3">
      <c r="B75" s="103">
        <v>72</v>
      </c>
      <c r="C75" s="104">
        <v>288</v>
      </c>
      <c r="D75" s="105" t="s">
        <v>228</v>
      </c>
    </row>
    <row r="76" spans="2:4" x14ac:dyDescent="0.3">
      <c r="B76" s="103">
        <v>73</v>
      </c>
      <c r="C76" s="104">
        <v>290</v>
      </c>
      <c r="D76" s="105" t="s">
        <v>229</v>
      </c>
    </row>
    <row r="77" spans="2:4" x14ac:dyDescent="0.3">
      <c r="B77" s="103">
        <v>74</v>
      </c>
      <c r="C77" s="104">
        <v>291</v>
      </c>
      <c r="D77" s="105" t="s">
        <v>230</v>
      </c>
    </row>
    <row r="78" spans="2:4" x14ac:dyDescent="0.3">
      <c r="B78" s="103">
        <v>75</v>
      </c>
      <c r="C78" s="104">
        <v>292</v>
      </c>
      <c r="D78" s="105" t="s">
        <v>231</v>
      </c>
    </row>
    <row r="79" spans="2:4" x14ac:dyDescent="0.3">
      <c r="B79" s="103">
        <v>76</v>
      </c>
      <c r="C79" s="104">
        <v>293</v>
      </c>
      <c r="D79" s="105" t="s">
        <v>232</v>
      </c>
    </row>
    <row r="80" spans="2:4" x14ac:dyDescent="0.3">
      <c r="B80" s="103">
        <v>77</v>
      </c>
      <c r="C80" s="104">
        <v>294</v>
      </c>
      <c r="D80" s="105" t="s">
        <v>233</v>
      </c>
    </row>
    <row r="81" spans="2:4" x14ac:dyDescent="0.3">
      <c r="B81" s="103">
        <v>78</v>
      </c>
      <c r="C81" s="104">
        <v>295</v>
      </c>
      <c r="D81" s="105" t="s">
        <v>234</v>
      </c>
    </row>
    <row r="82" spans="2:4" x14ac:dyDescent="0.3">
      <c r="B82" s="103">
        <v>79</v>
      </c>
      <c r="C82" s="104">
        <v>299</v>
      </c>
      <c r="D82" s="105" t="s">
        <v>235</v>
      </c>
    </row>
    <row r="83" spans="2:4" x14ac:dyDescent="0.3">
      <c r="B83" s="103">
        <v>80</v>
      </c>
      <c r="C83" s="104">
        <v>361</v>
      </c>
      <c r="D83" s="105" t="s">
        <v>236</v>
      </c>
    </row>
    <row r="84" spans="2:4" x14ac:dyDescent="0.3">
      <c r="B84" s="103">
        <v>81</v>
      </c>
      <c r="C84" s="104">
        <v>364</v>
      </c>
      <c r="D84" s="105" t="s">
        <v>237</v>
      </c>
    </row>
    <row r="85" spans="2:4" x14ac:dyDescent="0.3">
      <c r="B85" s="103">
        <v>82</v>
      </c>
      <c r="C85" s="104">
        <v>365</v>
      </c>
      <c r="D85" s="105" t="s">
        <v>238</v>
      </c>
    </row>
    <row r="86" spans="2:4" x14ac:dyDescent="0.3">
      <c r="B86" s="103">
        <v>83</v>
      </c>
      <c r="C86" s="104">
        <v>366</v>
      </c>
      <c r="D86" s="105" t="s">
        <v>239</v>
      </c>
    </row>
    <row r="87" spans="2:4" x14ac:dyDescent="0.3">
      <c r="B87" s="103">
        <v>84</v>
      </c>
      <c r="C87" s="104">
        <v>367</v>
      </c>
      <c r="D87" s="105" t="s">
        <v>240</v>
      </c>
    </row>
    <row r="88" spans="2:4" x14ac:dyDescent="0.3">
      <c r="B88" s="103">
        <v>85</v>
      </c>
      <c r="C88" s="104">
        <v>368</v>
      </c>
      <c r="D88" s="105" t="s">
        <v>241</v>
      </c>
    </row>
    <row r="89" spans="2:4" x14ac:dyDescent="0.3">
      <c r="B89" s="103">
        <v>86</v>
      </c>
      <c r="C89" s="104">
        <v>369</v>
      </c>
      <c r="D89" s="105" t="s">
        <v>242</v>
      </c>
    </row>
    <row r="90" spans="2:4" x14ac:dyDescent="0.3">
      <c r="B90" s="103">
        <v>87</v>
      </c>
      <c r="C90" s="104">
        <v>370</v>
      </c>
      <c r="D90" s="105" t="s">
        <v>243</v>
      </c>
    </row>
    <row r="91" spans="2:4" x14ac:dyDescent="0.3">
      <c r="B91" s="103">
        <v>88</v>
      </c>
      <c r="C91" s="104">
        <v>371</v>
      </c>
      <c r="D91" s="105" t="s">
        <v>244</v>
      </c>
    </row>
    <row r="92" spans="2:4" x14ac:dyDescent="0.3">
      <c r="B92" s="103">
        <v>89</v>
      </c>
      <c r="C92" s="104">
        <v>372</v>
      </c>
      <c r="D92" s="105" t="s">
        <v>245</v>
      </c>
    </row>
    <row r="93" spans="2:4" x14ac:dyDescent="0.3">
      <c r="B93" s="103">
        <v>90</v>
      </c>
      <c r="C93" s="104">
        <v>373</v>
      </c>
      <c r="D93" s="105" t="s">
        <v>246</v>
      </c>
    </row>
    <row r="94" spans="2:4" x14ac:dyDescent="0.3">
      <c r="B94" s="103">
        <v>91</v>
      </c>
      <c r="C94" s="104">
        <v>374</v>
      </c>
      <c r="D94" s="105" t="s">
        <v>247</v>
      </c>
    </row>
    <row r="95" spans="2:4" x14ac:dyDescent="0.3">
      <c r="B95" s="103">
        <v>92</v>
      </c>
      <c r="C95" s="104">
        <v>381</v>
      </c>
      <c r="D95" s="105" t="s">
        <v>248</v>
      </c>
    </row>
    <row r="96" spans="2:4" x14ac:dyDescent="0.3">
      <c r="B96" s="103">
        <v>93</v>
      </c>
      <c r="C96" s="104">
        <v>431</v>
      </c>
      <c r="D96" s="105" t="s">
        <v>249</v>
      </c>
    </row>
    <row r="97" spans="2:4" x14ac:dyDescent="0.3">
      <c r="B97" s="103">
        <v>94</v>
      </c>
      <c r="C97" s="104">
        <v>432</v>
      </c>
      <c r="D97" s="105" t="s">
        <v>250</v>
      </c>
    </row>
    <row r="98" spans="2:4" x14ac:dyDescent="0.3">
      <c r="B98" s="103">
        <v>95</v>
      </c>
      <c r="C98" s="104">
        <v>433</v>
      </c>
      <c r="D98" s="105" t="s">
        <v>251</v>
      </c>
    </row>
    <row r="99" spans="2:4" x14ac:dyDescent="0.3">
      <c r="B99" s="103">
        <v>96</v>
      </c>
      <c r="C99" s="104">
        <v>434</v>
      </c>
      <c r="D99" s="105" t="s">
        <v>252</v>
      </c>
    </row>
    <row r="100" spans="2:4" x14ac:dyDescent="0.3">
      <c r="B100" s="103">
        <v>97</v>
      </c>
      <c r="C100" s="104">
        <v>435</v>
      </c>
      <c r="D100" s="105" t="s">
        <v>253</v>
      </c>
    </row>
    <row r="101" spans="2:4" x14ac:dyDescent="0.3">
      <c r="B101" s="103">
        <v>98</v>
      </c>
      <c r="C101" s="104">
        <v>436</v>
      </c>
      <c r="D101" s="105" t="s">
        <v>254</v>
      </c>
    </row>
    <row r="102" spans="2:4" x14ac:dyDescent="0.3">
      <c r="B102" s="103">
        <v>99</v>
      </c>
      <c r="C102" s="104">
        <v>437</v>
      </c>
      <c r="D102" s="105" t="s">
        <v>255</v>
      </c>
    </row>
    <row r="103" spans="2:4" x14ac:dyDescent="0.3">
      <c r="B103" s="103">
        <v>100</v>
      </c>
      <c r="C103" s="104">
        <v>438</v>
      </c>
      <c r="D103" s="105" t="s">
        <v>256</v>
      </c>
    </row>
    <row r="104" spans="2:4" x14ac:dyDescent="0.3">
      <c r="B104" s="103">
        <v>101</v>
      </c>
      <c r="C104" s="104">
        <v>439</v>
      </c>
      <c r="D104" s="105" t="s">
        <v>257</v>
      </c>
    </row>
    <row r="105" spans="2:4" x14ac:dyDescent="0.3">
      <c r="B105" s="103">
        <v>102</v>
      </c>
      <c r="C105" s="104">
        <v>440</v>
      </c>
      <c r="D105" s="105" t="s">
        <v>258</v>
      </c>
    </row>
    <row r="106" spans="2:4" x14ac:dyDescent="0.3">
      <c r="B106" s="103">
        <v>103</v>
      </c>
      <c r="C106" s="104">
        <v>441</v>
      </c>
      <c r="D106" s="105" t="s">
        <v>259</v>
      </c>
    </row>
    <row r="107" spans="2:4" x14ac:dyDescent="0.3">
      <c r="B107" s="103">
        <v>104</v>
      </c>
      <c r="C107" s="104">
        <v>442</v>
      </c>
      <c r="D107" s="105" t="s">
        <v>260</v>
      </c>
    </row>
    <row r="108" spans="2:4" x14ac:dyDescent="0.3">
      <c r="B108" s="103">
        <v>105</v>
      </c>
      <c r="C108" s="104">
        <v>443</v>
      </c>
      <c r="D108" s="105" t="s">
        <v>261</v>
      </c>
    </row>
    <row r="109" spans="2:4" x14ac:dyDescent="0.3">
      <c r="B109" s="103">
        <v>106</v>
      </c>
      <c r="C109" s="104">
        <v>444</v>
      </c>
      <c r="D109" s="105" t="s">
        <v>262</v>
      </c>
    </row>
    <row r="110" spans="2:4" x14ac:dyDescent="0.3">
      <c r="B110" s="103">
        <v>107</v>
      </c>
      <c r="C110" s="104">
        <v>445</v>
      </c>
      <c r="D110" s="105" t="s">
        <v>263</v>
      </c>
    </row>
    <row r="111" spans="2:4" x14ac:dyDescent="0.3">
      <c r="B111" s="103">
        <v>108</v>
      </c>
      <c r="C111" s="104">
        <v>446</v>
      </c>
      <c r="D111" s="105" t="s">
        <v>264</v>
      </c>
    </row>
    <row r="112" spans="2:4" x14ac:dyDescent="0.3">
      <c r="B112" s="103">
        <v>109</v>
      </c>
      <c r="C112" s="104">
        <v>447</v>
      </c>
      <c r="D112" s="105" t="s">
        <v>265</v>
      </c>
    </row>
    <row r="113" spans="2:4" x14ac:dyDescent="0.3">
      <c r="B113" s="103">
        <v>110</v>
      </c>
      <c r="C113" s="104">
        <v>448</v>
      </c>
      <c r="D113" s="105" t="s">
        <v>266</v>
      </c>
    </row>
    <row r="114" spans="2:4" x14ac:dyDescent="0.3">
      <c r="B114" s="103">
        <v>111</v>
      </c>
      <c r="C114" s="104">
        <v>449</v>
      </c>
      <c r="D114" s="105" t="s">
        <v>267</v>
      </c>
    </row>
    <row r="115" spans="2:4" x14ac:dyDescent="0.3">
      <c r="B115" s="103">
        <v>112</v>
      </c>
      <c r="C115" s="104">
        <v>450</v>
      </c>
      <c r="D115" s="105" t="s">
        <v>268</v>
      </c>
    </row>
    <row r="116" spans="2:4" x14ac:dyDescent="0.3">
      <c r="B116" s="103">
        <v>113</v>
      </c>
      <c r="C116" s="104">
        <v>452</v>
      </c>
      <c r="D116" s="105" t="s">
        <v>269</v>
      </c>
    </row>
    <row r="117" spans="2:4" x14ac:dyDescent="0.3">
      <c r="B117" s="103">
        <v>114</v>
      </c>
      <c r="C117" s="104">
        <v>453</v>
      </c>
      <c r="D117" s="105" t="s">
        <v>270</v>
      </c>
    </row>
    <row r="118" spans="2:4" x14ac:dyDescent="0.3">
      <c r="B118" s="103">
        <v>115</v>
      </c>
      <c r="C118" s="104">
        <v>454</v>
      </c>
      <c r="D118" s="105" t="s">
        <v>271</v>
      </c>
    </row>
    <row r="119" spans="2:4" x14ac:dyDescent="0.3">
      <c r="B119" s="103">
        <v>116</v>
      </c>
      <c r="C119" s="104">
        <v>455</v>
      </c>
      <c r="D119" s="105" t="s">
        <v>272</v>
      </c>
    </row>
    <row r="120" spans="2:4" x14ac:dyDescent="0.3">
      <c r="B120" s="103">
        <v>117</v>
      </c>
      <c r="C120" s="104">
        <v>456</v>
      </c>
      <c r="D120" s="105" t="s">
        <v>273</v>
      </c>
    </row>
    <row r="121" spans="2:4" x14ac:dyDescent="0.3">
      <c r="B121" s="103">
        <v>118</v>
      </c>
      <c r="C121" s="104">
        <v>457</v>
      </c>
      <c r="D121" s="105" t="s">
        <v>274</v>
      </c>
    </row>
    <row r="122" spans="2:4" x14ac:dyDescent="0.3">
      <c r="B122" s="103">
        <v>119</v>
      </c>
      <c r="C122" s="104">
        <v>458</v>
      </c>
      <c r="D122" s="105" t="s">
        <v>275</v>
      </c>
    </row>
    <row r="123" spans="2:4" x14ac:dyDescent="0.3">
      <c r="B123" s="108">
        <v>120</v>
      </c>
      <c r="C123" s="109" t="s">
        <v>276</v>
      </c>
      <c r="D123" s="110" t="s">
        <v>277</v>
      </c>
    </row>
  </sheetData>
  <mergeCells count="1">
    <mergeCell ref="B1:D2"/>
  </mergeCells>
  <phoneticPr fontId="3" type="noConversion"/>
  <dataValidations count="1">
    <dataValidation type="decimal" operator="greaterThan" allowBlank="1" showInputMessage="1" showErrorMessage="1" error="지급액은 숫자만 입력가능합니다." sqref="C65540:C131072 IY65540:IY131072 SU65540:SU131072 ACQ65540:ACQ131072 AMM65540:AMM131072 AWI65540:AWI131072 BGE65540:BGE131072 BQA65540:BQA131072 BZW65540:BZW131072 CJS65540:CJS131072 CTO65540:CTO131072 DDK65540:DDK131072 DNG65540:DNG131072 DXC65540:DXC131072 EGY65540:EGY131072 EQU65540:EQU131072 FAQ65540:FAQ131072 FKM65540:FKM131072 FUI65540:FUI131072 GEE65540:GEE131072 GOA65540:GOA131072 GXW65540:GXW131072 HHS65540:HHS131072 HRO65540:HRO131072 IBK65540:IBK131072 ILG65540:ILG131072 IVC65540:IVC131072 JEY65540:JEY131072 JOU65540:JOU131072 JYQ65540:JYQ131072 KIM65540:KIM131072 KSI65540:KSI131072 LCE65540:LCE131072 LMA65540:LMA131072 LVW65540:LVW131072 MFS65540:MFS131072 MPO65540:MPO131072 MZK65540:MZK131072 NJG65540:NJG131072 NTC65540:NTC131072 OCY65540:OCY131072 OMU65540:OMU131072 OWQ65540:OWQ131072 PGM65540:PGM131072 PQI65540:PQI131072 QAE65540:QAE131072 QKA65540:QKA131072 QTW65540:QTW131072 RDS65540:RDS131072 RNO65540:RNO131072 RXK65540:RXK131072 SHG65540:SHG131072 SRC65540:SRC131072 TAY65540:TAY131072 TKU65540:TKU131072 TUQ65540:TUQ131072 UEM65540:UEM131072 UOI65540:UOI131072 UYE65540:UYE131072 VIA65540:VIA131072 VRW65540:VRW131072 WBS65540:WBS131072 WLO65540:WLO131072 WVK65540:WVK131072 C131076:C196608 IY131076:IY196608 SU131076:SU196608 ACQ131076:ACQ196608 AMM131076:AMM196608 AWI131076:AWI196608 BGE131076:BGE196608 BQA131076:BQA196608 BZW131076:BZW196608 CJS131076:CJS196608 CTO131076:CTO196608 DDK131076:DDK196608 DNG131076:DNG196608 DXC131076:DXC196608 EGY131076:EGY196608 EQU131076:EQU196608 FAQ131076:FAQ196608 FKM131076:FKM196608 FUI131076:FUI196608 GEE131076:GEE196608 GOA131076:GOA196608 GXW131076:GXW196608 HHS131076:HHS196608 HRO131076:HRO196608 IBK131076:IBK196608 ILG131076:ILG196608 IVC131076:IVC196608 JEY131076:JEY196608 JOU131076:JOU196608 JYQ131076:JYQ196608 KIM131076:KIM196608 KSI131076:KSI196608 LCE131076:LCE196608 LMA131076:LMA196608 LVW131076:LVW196608 MFS131076:MFS196608 MPO131076:MPO196608 MZK131076:MZK196608 NJG131076:NJG196608 NTC131076:NTC196608 OCY131076:OCY196608 OMU131076:OMU196608 OWQ131076:OWQ196608 PGM131076:PGM196608 PQI131076:PQI196608 QAE131076:QAE196608 QKA131076:QKA196608 QTW131076:QTW196608 RDS131076:RDS196608 RNO131076:RNO196608 RXK131076:RXK196608 SHG131076:SHG196608 SRC131076:SRC196608 TAY131076:TAY196608 TKU131076:TKU196608 TUQ131076:TUQ196608 UEM131076:UEM196608 UOI131076:UOI196608 UYE131076:UYE196608 VIA131076:VIA196608 VRW131076:VRW196608 WBS131076:WBS196608 WLO131076:WLO196608 WVK131076:WVK196608 C196612:C262144 IY196612:IY262144 SU196612:SU262144 ACQ196612:ACQ262144 AMM196612:AMM262144 AWI196612:AWI262144 BGE196612:BGE262144 BQA196612:BQA262144 BZW196612:BZW262144 CJS196612:CJS262144 CTO196612:CTO262144 DDK196612:DDK262144 DNG196612:DNG262144 DXC196612:DXC262144 EGY196612:EGY262144 EQU196612:EQU262144 FAQ196612:FAQ262144 FKM196612:FKM262144 FUI196612:FUI262144 GEE196612:GEE262144 GOA196612:GOA262144 GXW196612:GXW262144 HHS196612:HHS262144 HRO196612:HRO262144 IBK196612:IBK262144 ILG196612:ILG262144 IVC196612:IVC262144 JEY196612:JEY262144 JOU196612:JOU262144 JYQ196612:JYQ262144 KIM196612:KIM262144 KSI196612:KSI262144 LCE196612:LCE262144 LMA196612:LMA262144 LVW196612:LVW262144 MFS196612:MFS262144 MPO196612:MPO262144 MZK196612:MZK262144 NJG196612:NJG262144 NTC196612:NTC262144 OCY196612:OCY262144 OMU196612:OMU262144 OWQ196612:OWQ262144 PGM196612:PGM262144 PQI196612:PQI262144 QAE196612:QAE262144 QKA196612:QKA262144 QTW196612:QTW262144 RDS196612:RDS262144 RNO196612:RNO262144 RXK196612:RXK262144 SHG196612:SHG262144 SRC196612:SRC262144 TAY196612:TAY262144 TKU196612:TKU262144 TUQ196612:TUQ262144 UEM196612:UEM262144 UOI196612:UOI262144 UYE196612:UYE262144 VIA196612:VIA262144 VRW196612:VRW262144 WBS196612:WBS262144 WLO196612:WLO262144 WVK196612:WVK262144 C262148:C327680 IY262148:IY327680 SU262148:SU327680 ACQ262148:ACQ327680 AMM262148:AMM327680 AWI262148:AWI327680 BGE262148:BGE327680 BQA262148:BQA327680 BZW262148:BZW327680 CJS262148:CJS327680 CTO262148:CTO327680 DDK262148:DDK327680 DNG262148:DNG327680 DXC262148:DXC327680 EGY262148:EGY327680 EQU262148:EQU327680 FAQ262148:FAQ327680 FKM262148:FKM327680 FUI262148:FUI327680 GEE262148:GEE327680 GOA262148:GOA327680 GXW262148:GXW327680 HHS262148:HHS327680 HRO262148:HRO327680 IBK262148:IBK327680 ILG262148:ILG327680 IVC262148:IVC327680 JEY262148:JEY327680 JOU262148:JOU327680 JYQ262148:JYQ327680 KIM262148:KIM327680 KSI262148:KSI327680 LCE262148:LCE327680 LMA262148:LMA327680 LVW262148:LVW327680 MFS262148:MFS327680 MPO262148:MPO327680 MZK262148:MZK327680 NJG262148:NJG327680 NTC262148:NTC327680 OCY262148:OCY327680 OMU262148:OMU327680 OWQ262148:OWQ327680 PGM262148:PGM327680 PQI262148:PQI327680 QAE262148:QAE327680 QKA262148:QKA327680 QTW262148:QTW327680 RDS262148:RDS327680 RNO262148:RNO327680 RXK262148:RXK327680 SHG262148:SHG327680 SRC262148:SRC327680 TAY262148:TAY327680 TKU262148:TKU327680 TUQ262148:TUQ327680 UEM262148:UEM327680 UOI262148:UOI327680 UYE262148:UYE327680 VIA262148:VIA327680 VRW262148:VRW327680 WBS262148:WBS327680 WLO262148:WLO327680 WVK262148:WVK327680 C327684:C393216 IY327684:IY393216 SU327684:SU393216 ACQ327684:ACQ393216 AMM327684:AMM393216 AWI327684:AWI393216 BGE327684:BGE393216 BQA327684:BQA393216 BZW327684:BZW393216 CJS327684:CJS393216 CTO327684:CTO393216 DDK327684:DDK393216 DNG327684:DNG393216 DXC327684:DXC393216 EGY327684:EGY393216 EQU327684:EQU393216 FAQ327684:FAQ393216 FKM327684:FKM393216 FUI327684:FUI393216 GEE327684:GEE393216 GOA327684:GOA393216 GXW327684:GXW393216 HHS327684:HHS393216 HRO327684:HRO393216 IBK327684:IBK393216 ILG327684:ILG393216 IVC327684:IVC393216 JEY327684:JEY393216 JOU327684:JOU393216 JYQ327684:JYQ393216 KIM327684:KIM393216 KSI327684:KSI393216 LCE327684:LCE393216 LMA327684:LMA393216 LVW327684:LVW393216 MFS327684:MFS393216 MPO327684:MPO393216 MZK327684:MZK393216 NJG327684:NJG393216 NTC327684:NTC393216 OCY327684:OCY393216 OMU327684:OMU393216 OWQ327684:OWQ393216 PGM327684:PGM393216 PQI327684:PQI393216 QAE327684:QAE393216 QKA327684:QKA393216 QTW327684:QTW393216 RDS327684:RDS393216 RNO327684:RNO393216 RXK327684:RXK393216 SHG327684:SHG393216 SRC327684:SRC393216 TAY327684:TAY393216 TKU327684:TKU393216 TUQ327684:TUQ393216 UEM327684:UEM393216 UOI327684:UOI393216 UYE327684:UYE393216 VIA327684:VIA393216 VRW327684:VRW393216 WBS327684:WBS393216 WLO327684:WLO393216 WVK327684:WVK393216 C393220:C458752 IY393220:IY458752 SU393220:SU458752 ACQ393220:ACQ458752 AMM393220:AMM458752 AWI393220:AWI458752 BGE393220:BGE458752 BQA393220:BQA458752 BZW393220:BZW458752 CJS393220:CJS458752 CTO393220:CTO458752 DDK393220:DDK458752 DNG393220:DNG458752 DXC393220:DXC458752 EGY393220:EGY458752 EQU393220:EQU458752 FAQ393220:FAQ458752 FKM393220:FKM458752 FUI393220:FUI458752 GEE393220:GEE458752 GOA393220:GOA458752 GXW393220:GXW458752 HHS393220:HHS458752 HRO393220:HRO458752 IBK393220:IBK458752 ILG393220:ILG458752 IVC393220:IVC458752 JEY393220:JEY458752 JOU393220:JOU458752 JYQ393220:JYQ458752 KIM393220:KIM458752 KSI393220:KSI458752 LCE393220:LCE458752 LMA393220:LMA458752 LVW393220:LVW458752 MFS393220:MFS458752 MPO393220:MPO458752 MZK393220:MZK458752 NJG393220:NJG458752 NTC393220:NTC458752 OCY393220:OCY458752 OMU393220:OMU458752 OWQ393220:OWQ458752 PGM393220:PGM458752 PQI393220:PQI458752 QAE393220:QAE458752 QKA393220:QKA458752 QTW393220:QTW458752 RDS393220:RDS458752 RNO393220:RNO458752 RXK393220:RXK458752 SHG393220:SHG458752 SRC393220:SRC458752 TAY393220:TAY458752 TKU393220:TKU458752 TUQ393220:TUQ458752 UEM393220:UEM458752 UOI393220:UOI458752 UYE393220:UYE458752 VIA393220:VIA458752 VRW393220:VRW458752 WBS393220:WBS458752 WLO393220:WLO458752 WVK393220:WVK458752 C458756:C524288 IY458756:IY524288 SU458756:SU524288 ACQ458756:ACQ524288 AMM458756:AMM524288 AWI458756:AWI524288 BGE458756:BGE524288 BQA458756:BQA524288 BZW458756:BZW524288 CJS458756:CJS524288 CTO458756:CTO524288 DDK458756:DDK524288 DNG458756:DNG524288 DXC458756:DXC524288 EGY458756:EGY524288 EQU458756:EQU524288 FAQ458756:FAQ524288 FKM458756:FKM524288 FUI458756:FUI524288 GEE458756:GEE524288 GOA458756:GOA524288 GXW458756:GXW524288 HHS458756:HHS524288 HRO458756:HRO524288 IBK458756:IBK524288 ILG458756:ILG524288 IVC458756:IVC524288 JEY458756:JEY524288 JOU458756:JOU524288 JYQ458756:JYQ524288 KIM458756:KIM524288 KSI458756:KSI524288 LCE458756:LCE524288 LMA458756:LMA524288 LVW458756:LVW524288 MFS458756:MFS524288 MPO458756:MPO524288 MZK458756:MZK524288 NJG458756:NJG524288 NTC458756:NTC524288 OCY458756:OCY524288 OMU458756:OMU524288 OWQ458756:OWQ524288 PGM458756:PGM524288 PQI458756:PQI524288 QAE458756:QAE524288 QKA458756:QKA524288 QTW458756:QTW524288 RDS458756:RDS524288 RNO458756:RNO524288 RXK458756:RXK524288 SHG458756:SHG524288 SRC458756:SRC524288 TAY458756:TAY524288 TKU458756:TKU524288 TUQ458756:TUQ524288 UEM458756:UEM524288 UOI458756:UOI524288 UYE458756:UYE524288 VIA458756:VIA524288 VRW458756:VRW524288 WBS458756:WBS524288 WLO458756:WLO524288 WVK458756:WVK524288 C524292:C589824 IY524292:IY589824 SU524292:SU589824 ACQ524292:ACQ589824 AMM524292:AMM589824 AWI524292:AWI589824 BGE524292:BGE589824 BQA524292:BQA589824 BZW524292:BZW589824 CJS524292:CJS589824 CTO524292:CTO589824 DDK524292:DDK589824 DNG524292:DNG589824 DXC524292:DXC589824 EGY524292:EGY589824 EQU524292:EQU589824 FAQ524292:FAQ589824 FKM524292:FKM589824 FUI524292:FUI589824 GEE524292:GEE589824 GOA524292:GOA589824 GXW524292:GXW589824 HHS524292:HHS589824 HRO524292:HRO589824 IBK524292:IBK589824 ILG524292:ILG589824 IVC524292:IVC589824 JEY524292:JEY589824 JOU524292:JOU589824 JYQ524292:JYQ589824 KIM524292:KIM589824 KSI524292:KSI589824 LCE524292:LCE589824 LMA524292:LMA589824 LVW524292:LVW589824 MFS524292:MFS589824 MPO524292:MPO589824 MZK524292:MZK589824 NJG524292:NJG589824 NTC524292:NTC589824 OCY524292:OCY589824 OMU524292:OMU589824 OWQ524292:OWQ589824 PGM524292:PGM589824 PQI524292:PQI589824 QAE524292:QAE589824 QKA524292:QKA589824 QTW524292:QTW589824 RDS524292:RDS589824 RNO524292:RNO589824 RXK524292:RXK589824 SHG524292:SHG589824 SRC524292:SRC589824 TAY524292:TAY589824 TKU524292:TKU589824 TUQ524292:TUQ589824 UEM524292:UEM589824 UOI524292:UOI589824 UYE524292:UYE589824 VIA524292:VIA589824 VRW524292:VRW589824 WBS524292:WBS589824 WLO524292:WLO589824 WVK524292:WVK589824 C589828:C655360 IY589828:IY655360 SU589828:SU655360 ACQ589828:ACQ655360 AMM589828:AMM655360 AWI589828:AWI655360 BGE589828:BGE655360 BQA589828:BQA655360 BZW589828:BZW655360 CJS589828:CJS655360 CTO589828:CTO655360 DDK589828:DDK655360 DNG589828:DNG655360 DXC589828:DXC655360 EGY589828:EGY655360 EQU589828:EQU655360 FAQ589828:FAQ655360 FKM589828:FKM655360 FUI589828:FUI655360 GEE589828:GEE655360 GOA589828:GOA655360 GXW589828:GXW655360 HHS589828:HHS655360 HRO589828:HRO655360 IBK589828:IBK655360 ILG589828:ILG655360 IVC589828:IVC655360 JEY589828:JEY655360 JOU589828:JOU655360 JYQ589828:JYQ655360 KIM589828:KIM655360 KSI589828:KSI655360 LCE589828:LCE655360 LMA589828:LMA655360 LVW589828:LVW655360 MFS589828:MFS655360 MPO589828:MPO655360 MZK589828:MZK655360 NJG589828:NJG655360 NTC589828:NTC655360 OCY589828:OCY655360 OMU589828:OMU655360 OWQ589828:OWQ655360 PGM589828:PGM655360 PQI589828:PQI655360 QAE589828:QAE655360 QKA589828:QKA655360 QTW589828:QTW655360 RDS589828:RDS655360 RNO589828:RNO655360 RXK589828:RXK655360 SHG589828:SHG655360 SRC589828:SRC655360 TAY589828:TAY655360 TKU589828:TKU655360 TUQ589828:TUQ655360 UEM589828:UEM655360 UOI589828:UOI655360 UYE589828:UYE655360 VIA589828:VIA655360 VRW589828:VRW655360 WBS589828:WBS655360 WLO589828:WLO655360 WVK589828:WVK655360 C655364:C720896 IY655364:IY720896 SU655364:SU720896 ACQ655364:ACQ720896 AMM655364:AMM720896 AWI655364:AWI720896 BGE655364:BGE720896 BQA655364:BQA720896 BZW655364:BZW720896 CJS655364:CJS720896 CTO655364:CTO720896 DDK655364:DDK720896 DNG655364:DNG720896 DXC655364:DXC720896 EGY655364:EGY720896 EQU655364:EQU720896 FAQ655364:FAQ720896 FKM655364:FKM720896 FUI655364:FUI720896 GEE655364:GEE720896 GOA655364:GOA720896 GXW655364:GXW720896 HHS655364:HHS720896 HRO655364:HRO720896 IBK655364:IBK720896 ILG655364:ILG720896 IVC655364:IVC720896 JEY655364:JEY720896 JOU655364:JOU720896 JYQ655364:JYQ720896 KIM655364:KIM720896 KSI655364:KSI720896 LCE655364:LCE720896 LMA655364:LMA720896 LVW655364:LVW720896 MFS655364:MFS720896 MPO655364:MPO720896 MZK655364:MZK720896 NJG655364:NJG720896 NTC655364:NTC720896 OCY655364:OCY720896 OMU655364:OMU720896 OWQ655364:OWQ720896 PGM655364:PGM720896 PQI655364:PQI720896 QAE655364:QAE720896 QKA655364:QKA720896 QTW655364:QTW720896 RDS655364:RDS720896 RNO655364:RNO720896 RXK655364:RXK720896 SHG655364:SHG720896 SRC655364:SRC720896 TAY655364:TAY720896 TKU655364:TKU720896 TUQ655364:TUQ720896 UEM655364:UEM720896 UOI655364:UOI720896 UYE655364:UYE720896 VIA655364:VIA720896 VRW655364:VRW720896 WBS655364:WBS720896 WLO655364:WLO720896 WVK655364:WVK720896 C720900:C786432 IY720900:IY786432 SU720900:SU786432 ACQ720900:ACQ786432 AMM720900:AMM786432 AWI720900:AWI786432 BGE720900:BGE786432 BQA720900:BQA786432 BZW720900:BZW786432 CJS720900:CJS786432 CTO720900:CTO786432 DDK720900:DDK786432 DNG720900:DNG786432 DXC720900:DXC786432 EGY720900:EGY786432 EQU720900:EQU786432 FAQ720900:FAQ786432 FKM720900:FKM786432 FUI720900:FUI786432 GEE720900:GEE786432 GOA720900:GOA786432 GXW720900:GXW786432 HHS720900:HHS786432 HRO720900:HRO786432 IBK720900:IBK786432 ILG720900:ILG786432 IVC720900:IVC786432 JEY720900:JEY786432 JOU720900:JOU786432 JYQ720900:JYQ786432 KIM720900:KIM786432 KSI720900:KSI786432 LCE720900:LCE786432 LMA720900:LMA786432 LVW720900:LVW786432 MFS720900:MFS786432 MPO720900:MPO786432 MZK720900:MZK786432 NJG720900:NJG786432 NTC720900:NTC786432 OCY720900:OCY786432 OMU720900:OMU786432 OWQ720900:OWQ786432 PGM720900:PGM786432 PQI720900:PQI786432 QAE720900:QAE786432 QKA720900:QKA786432 QTW720900:QTW786432 RDS720900:RDS786432 RNO720900:RNO786432 RXK720900:RXK786432 SHG720900:SHG786432 SRC720900:SRC786432 TAY720900:TAY786432 TKU720900:TKU786432 TUQ720900:TUQ786432 UEM720900:UEM786432 UOI720900:UOI786432 UYE720900:UYE786432 VIA720900:VIA786432 VRW720900:VRW786432 WBS720900:WBS786432 WLO720900:WLO786432 WVK720900:WVK786432 C786436:C851968 IY786436:IY851968 SU786436:SU851968 ACQ786436:ACQ851968 AMM786436:AMM851968 AWI786436:AWI851968 BGE786436:BGE851968 BQA786436:BQA851968 BZW786436:BZW851968 CJS786436:CJS851968 CTO786436:CTO851968 DDK786436:DDK851968 DNG786436:DNG851968 DXC786436:DXC851968 EGY786436:EGY851968 EQU786436:EQU851968 FAQ786436:FAQ851968 FKM786436:FKM851968 FUI786436:FUI851968 GEE786436:GEE851968 GOA786436:GOA851968 GXW786436:GXW851968 HHS786436:HHS851968 HRO786436:HRO851968 IBK786436:IBK851968 ILG786436:ILG851968 IVC786436:IVC851968 JEY786436:JEY851968 JOU786436:JOU851968 JYQ786436:JYQ851968 KIM786436:KIM851968 KSI786436:KSI851968 LCE786436:LCE851968 LMA786436:LMA851968 LVW786436:LVW851968 MFS786436:MFS851968 MPO786436:MPO851968 MZK786436:MZK851968 NJG786436:NJG851968 NTC786436:NTC851968 OCY786436:OCY851968 OMU786436:OMU851968 OWQ786436:OWQ851968 PGM786436:PGM851968 PQI786436:PQI851968 QAE786436:QAE851968 QKA786436:QKA851968 QTW786436:QTW851968 RDS786436:RDS851968 RNO786436:RNO851968 RXK786436:RXK851968 SHG786436:SHG851968 SRC786436:SRC851968 TAY786436:TAY851968 TKU786436:TKU851968 TUQ786436:TUQ851968 UEM786436:UEM851968 UOI786436:UOI851968 UYE786436:UYE851968 VIA786436:VIA851968 VRW786436:VRW851968 WBS786436:WBS851968 WLO786436:WLO851968 WVK786436:WVK851968 C851972:C917504 IY851972:IY917504 SU851972:SU917504 ACQ851972:ACQ917504 AMM851972:AMM917504 AWI851972:AWI917504 BGE851972:BGE917504 BQA851972:BQA917504 BZW851972:BZW917504 CJS851972:CJS917504 CTO851972:CTO917504 DDK851972:DDK917504 DNG851972:DNG917504 DXC851972:DXC917504 EGY851972:EGY917504 EQU851972:EQU917504 FAQ851972:FAQ917504 FKM851972:FKM917504 FUI851972:FUI917504 GEE851972:GEE917504 GOA851972:GOA917504 GXW851972:GXW917504 HHS851972:HHS917504 HRO851972:HRO917504 IBK851972:IBK917504 ILG851972:ILG917504 IVC851972:IVC917504 JEY851972:JEY917504 JOU851972:JOU917504 JYQ851972:JYQ917504 KIM851972:KIM917504 KSI851972:KSI917504 LCE851972:LCE917504 LMA851972:LMA917504 LVW851972:LVW917504 MFS851972:MFS917504 MPO851972:MPO917504 MZK851972:MZK917504 NJG851972:NJG917504 NTC851972:NTC917504 OCY851972:OCY917504 OMU851972:OMU917504 OWQ851972:OWQ917504 PGM851972:PGM917504 PQI851972:PQI917504 QAE851972:QAE917504 QKA851972:QKA917504 QTW851972:QTW917504 RDS851972:RDS917504 RNO851972:RNO917504 RXK851972:RXK917504 SHG851972:SHG917504 SRC851972:SRC917504 TAY851972:TAY917504 TKU851972:TKU917504 TUQ851972:TUQ917504 UEM851972:UEM917504 UOI851972:UOI917504 UYE851972:UYE917504 VIA851972:VIA917504 VRW851972:VRW917504 WBS851972:WBS917504 WLO851972:WLO917504 WVK851972:WVK917504 C917508:C983040 IY917508:IY983040 SU917508:SU983040 ACQ917508:ACQ983040 AMM917508:AMM983040 AWI917508:AWI983040 BGE917508:BGE983040 BQA917508:BQA983040 BZW917508:BZW983040 CJS917508:CJS983040 CTO917508:CTO983040 DDK917508:DDK983040 DNG917508:DNG983040 DXC917508:DXC983040 EGY917508:EGY983040 EQU917508:EQU983040 FAQ917508:FAQ983040 FKM917508:FKM983040 FUI917508:FUI983040 GEE917508:GEE983040 GOA917508:GOA983040 GXW917508:GXW983040 HHS917508:HHS983040 HRO917508:HRO983040 IBK917508:IBK983040 ILG917508:ILG983040 IVC917508:IVC983040 JEY917508:JEY983040 JOU917508:JOU983040 JYQ917508:JYQ983040 KIM917508:KIM983040 KSI917508:KSI983040 LCE917508:LCE983040 LMA917508:LMA983040 LVW917508:LVW983040 MFS917508:MFS983040 MPO917508:MPO983040 MZK917508:MZK983040 NJG917508:NJG983040 NTC917508:NTC983040 OCY917508:OCY983040 OMU917508:OMU983040 OWQ917508:OWQ983040 PGM917508:PGM983040 PQI917508:PQI983040 QAE917508:QAE983040 QKA917508:QKA983040 QTW917508:QTW983040 RDS917508:RDS983040 RNO917508:RNO983040 RXK917508:RXK983040 SHG917508:SHG983040 SRC917508:SRC983040 TAY917508:TAY983040 TKU917508:TKU983040 TUQ917508:TUQ983040 UEM917508:UEM983040 UOI917508:UOI983040 UYE917508:UYE983040 VIA917508:VIA983040 VRW917508:VRW983040 WBS917508:WBS983040 WLO917508:WLO983040 WVK917508:WVK983040 C983044:C1048576 IY983044:IY1048576 SU983044:SU1048576 ACQ983044:ACQ1048576 AMM983044:AMM1048576 AWI983044:AWI1048576 BGE983044:BGE1048576 BQA983044:BQA1048576 BZW983044:BZW1048576 CJS983044:CJS1048576 CTO983044:CTO1048576 DDK983044:DDK1048576 DNG983044:DNG1048576 DXC983044:DXC1048576 EGY983044:EGY1048576 EQU983044:EQU1048576 FAQ983044:FAQ1048576 FKM983044:FKM1048576 FUI983044:FUI1048576 GEE983044:GEE1048576 GOA983044:GOA1048576 GXW983044:GXW1048576 HHS983044:HHS1048576 HRO983044:HRO1048576 IBK983044:IBK1048576 ILG983044:ILG1048576 IVC983044:IVC1048576 JEY983044:JEY1048576 JOU983044:JOU1048576 JYQ983044:JYQ1048576 KIM983044:KIM1048576 KSI983044:KSI1048576 LCE983044:LCE1048576 LMA983044:LMA1048576 LVW983044:LVW1048576 MFS983044:MFS1048576 MPO983044:MPO1048576 MZK983044:MZK1048576 NJG983044:NJG1048576 NTC983044:NTC1048576 OCY983044:OCY1048576 OMU983044:OMU1048576 OWQ983044:OWQ1048576 PGM983044:PGM1048576 PQI983044:PQI1048576 QAE983044:QAE1048576 QKA983044:QKA1048576 QTW983044:QTW1048576 RDS983044:RDS1048576 RNO983044:RNO1048576 RXK983044:RXK1048576 SHG983044:SHG1048576 SRC983044:SRC1048576 TAY983044:TAY1048576 TKU983044:TKU1048576 TUQ983044:TUQ1048576 UEM983044:UEM1048576 UOI983044:UOI1048576 UYE983044:UYE1048576 VIA983044:VIA1048576 VRW983044:VRW1048576 WBS983044:WBS1048576 WLO983044:WLO1048576 WVK983044:WVK1048576 IY4:IY65536 SU4:SU65536 ACQ4:ACQ65536 AMM4:AMM65536 AWI4:AWI65536 BGE4:BGE65536 BQA4:BQA65536 BZW4:BZW65536 CJS4:CJS65536 CTO4:CTO65536 DDK4:DDK65536 DNG4:DNG65536 DXC4:DXC65536 EGY4:EGY65536 EQU4:EQU65536 FAQ4:FAQ65536 FKM4:FKM65536 FUI4:FUI65536 GEE4:GEE65536 GOA4:GOA65536 GXW4:GXW65536 HHS4:HHS65536 HRO4:HRO65536 IBK4:IBK65536 ILG4:ILG65536 IVC4:IVC65536 JEY4:JEY65536 JOU4:JOU65536 JYQ4:JYQ65536 KIM4:KIM65536 KSI4:KSI65536 LCE4:LCE65536 LMA4:LMA65536 LVW4:LVW65536 MFS4:MFS65536 MPO4:MPO65536 MZK4:MZK65536 NJG4:NJG65536 NTC4:NTC65536 OCY4:OCY65536 OMU4:OMU65536 OWQ4:OWQ65536 PGM4:PGM65536 PQI4:PQI65536 QAE4:QAE65536 QKA4:QKA65536 QTW4:QTW65536 RDS4:RDS65536 RNO4:RNO65536 RXK4:RXK65536 SHG4:SHG65536 SRC4:SRC65536 TAY4:TAY65536 TKU4:TKU65536 TUQ4:TUQ65536 UEM4:UEM65536 UOI4:UOI65536 UYE4:UYE65536 VIA4:VIA65536 VRW4:VRW65536 WBS4:WBS65536 WLO4:WLO65536 WVK4:WVK65536 C4:C65536" xr:uid="{00000000-0002-0000-0100-000000000000}">
      <formula1>-0.00000000001</formula1>
    </dataValidation>
  </dataValidation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교육청 제출용-1개월미만대체근로자</vt:lpstr>
      <vt:lpstr>은행코드</vt:lpstr>
      <vt:lpstr>'교육청 제출용-1개월미만대체근로자'!Print_Area</vt:lpstr>
      <vt:lpstr>은행목록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이경문</cp:lastModifiedBy>
  <cp:lastPrinted>2026-04-01T07:43:08Z</cp:lastPrinted>
  <dcterms:created xsi:type="dcterms:W3CDTF">2022-02-18T04:06:06Z</dcterms:created>
  <dcterms:modified xsi:type="dcterms:W3CDTF">2026-09-11T00:07:42Z</dcterms:modified>
</cp:coreProperties>
</file>